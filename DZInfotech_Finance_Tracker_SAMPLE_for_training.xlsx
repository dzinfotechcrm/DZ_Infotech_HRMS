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ishb\Downloads\"/>
    </mc:Choice>
  </mc:AlternateContent>
  <xr:revisionPtr revIDLastSave="0" documentId="13_ncr:1_{CF4AF2F7-8622-43D0-B290-DB25B69B3754}" xr6:coauthVersionLast="47" xr6:coauthVersionMax="47" xr10:uidLastSave="{00000000-0000-0000-0000-000000000000}"/>
  <bookViews>
    <workbookView xWindow="-108" yWindow="-108" windowWidth="23256" windowHeight="14616" tabRatio="500" firstSheet="3" activeTab="6" xr2:uid="{00000000-000D-0000-FFFF-FFFF00000000}"/>
  </bookViews>
  <sheets>
    <sheet name="⚙️ Settings" sheetId="1" r:id="rId1"/>
    <sheet name="🟡 Leads" sheetId="2" r:id="rId2"/>
    <sheet name="📋 Projects" sheetId="3" r:id="rId3"/>
    <sheet name="💰 Money Buckets" sheetId="4" r:id="rId4"/>
    <sheet name="🔴 Pending Dues" sheetId="5" r:id="rId5"/>
    <sheet name="🏦 Bank Balance" sheetId="6" r:id="rId6"/>
    <sheet name="💸 Expense Log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1" i="7" l="1"/>
  <c r="E110" i="7"/>
  <c r="E109" i="7"/>
  <c r="E108" i="7"/>
  <c r="E107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C6" i="6"/>
  <c r="F33" i="5"/>
  <c r="E33" i="5"/>
  <c r="D33" i="5"/>
  <c r="G32" i="5"/>
  <c r="F32" i="5"/>
  <c r="A32" i="5"/>
  <c r="G31" i="5"/>
  <c r="F31" i="5"/>
  <c r="A31" i="5"/>
  <c r="G30" i="5"/>
  <c r="F30" i="5"/>
  <c r="A30" i="5"/>
  <c r="G29" i="5"/>
  <c r="F29" i="5"/>
  <c r="A29" i="5"/>
  <c r="G28" i="5"/>
  <c r="F28" i="5"/>
  <c r="A28" i="5"/>
  <c r="G27" i="5"/>
  <c r="F27" i="5"/>
  <c r="A27" i="5"/>
  <c r="G26" i="5"/>
  <c r="F26" i="5"/>
  <c r="A26" i="5"/>
  <c r="G25" i="5"/>
  <c r="F25" i="5"/>
  <c r="A25" i="5"/>
  <c r="G24" i="5"/>
  <c r="F24" i="5"/>
  <c r="A24" i="5"/>
  <c r="G23" i="5"/>
  <c r="F23" i="5"/>
  <c r="A23" i="5"/>
  <c r="G22" i="5"/>
  <c r="F22" i="5"/>
  <c r="A22" i="5"/>
  <c r="G21" i="5"/>
  <c r="F21" i="5"/>
  <c r="A21" i="5"/>
  <c r="G20" i="5"/>
  <c r="F20" i="5"/>
  <c r="A20" i="5"/>
  <c r="G19" i="5"/>
  <c r="F19" i="5"/>
  <c r="A19" i="5"/>
  <c r="G18" i="5"/>
  <c r="F18" i="5"/>
  <c r="A18" i="5"/>
  <c r="G17" i="5"/>
  <c r="F17" i="5"/>
  <c r="A17" i="5"/>
  <c r="G16" i="5"/>
  <c r="F16" i="5"/>
  <c r="A16" i="5"/>
  <c r="G15" i="5"/>
  <c r="F15" i="5"/>
  <c r="A15" i="5"/>
  <c r="G14" i="5"/>
  <c r="F14" i="5"/>
  <c r="A14" i="5"/>
  <c r="G13" i="5"/>
  <c r="F13" i="5"/>
  <c r="A13" i="5"/>
  <c r="G12" i="5"/>
  <c r="F12" i="5"/>
  <c r="A12" i="5"/>
  <c r="G11" i="5"/>
  <c r="F11" i="5"/>
  <c r="A11" i="5"/>
  <c r="G10" i="5"/>
  <c r="F10" i="5"/>
  <c r="A10" i="5"/>
  <c r="G9" i="5"/>
  <c r="F9" i="5"/>
  <c r="A9" i="5"/>
  <c r="G8" i="5"/>
  <c r="F8" i="5"/>
  <c r="A8" i="5"/>
  <c r="G7" i="5"/>
  <c r="F7" i="5"/>
  <c r="A7" i="5"/>
  <c r="G6" i="5"/>
  <c r="F6" i="5"/>
  <c r="A6" i="5"/>
  <c r="G5" i="5"/>
  <c r="F5" i="5"/>
  <c r="A5" i="5"/>
  <c r="G4" i="5"/>
  <c r="F4" i="5"/>
  <c r="A4" i="5"/>
  <c r="G3" i="5"/>
  <c r="F3" i="5"/>
  <c r="A3" i="5"/>
  <c r="F19" i="4"/>
  <c r="D19" i="4"/>
  <c r="C19" i="4"/>
  <c r="E15" i="4"/>
  <c r="E14" i="4"/>
  <c r="E13" i="4"/>
  <c r="E12" i="4"/>
  <c r="E11" i="4"/>
  <c r="C7" i="4"/>
  <c r="C6" i="4"/>
  <c r="C5" i="4"/>
  <c r="C4" i="4"/>
  <c r="C3" i="4"/>
  <c r="G53" i="2"/>
  <c r="F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C10" i="1"/>
  <c r="D9" i="1" s="1"/>
  <c r="D7" i="1"/>
  <c r="D6" i="1"/>
  <c r="D5" i="1"/>
  <c r="H53" i="3"/>
  <c r="F53" i="3"/>
  <c r="E53" i="3"/>
  <c r="I52" i="3"/>
  <c r="N52" i="3" s="1"/>
  <c r="G52" i="3"/>
  <c r="A52" i="3"/>
  <c r="I51" i="3"/>
  <c r="N51" i="3" s="1"/>
  <c r="G51" i="3"/>
  <c r="A51" i="3"/>
  <c r="I50" i="3"/>
  <c r="N50" i="3" s="1"/>
  <c r="G50" i="3"/>
  <c r="A50" i="3"/>
  <c r="J49" i="3"/>
  <c r="I49" i="3"/>
  <c r="K49" i="3" s="1"/>
  <c r="G49" i="3"/>
  <c r="A49" i="3"/>
  <c r="N48" i="3"/>
  <c r="M48" i="3"/>
  <c r="L48" i="3"/>
  <c r="I48" i="3"/>
  <c r="K48" i="3" s="1"/>
  <c r="G48" i="3"/>
  <c r="A48" i="3"/>
  <c r="I47" i="3"/>
  <c r="N47" i="3" s="1"/>
  <c r="G47" i="3"/>
  <c r="A47" i="3"/>
  <c r="I46" i="3"/>
  <c r="N46" i="3" s="1"/>
  <c r="G46" i="3"/>
  <c r="A46" i="3"/>
  <c r="I45" i="3"/>
  <c r="L45" i="3" s="1"/>
  <c r="G45" i="3"/>
  <c r="A45" i="3"/>
  <c r="I44" i="3"/>
  <c r="L44" i="3" s="1"/>
  <c r="G44" i="3"/>
  <c r="A44" i="3"/>
  <c r="I43" i="3"/>
  <c r="N43" i="3" s="1"/>
  <c r="G43" i="3"/>
  <c r="A43" i="3"/>
  <c r="I42" i="3"/>
  <c r="N42" i="3" s="1"/>
  <c r="G42" i="3"/>
  <c r="A42" i="3"/>
  <c r="N41" i="3"/>
  <c r="M41" i="3"/>
  <c r="L41" i="3"/>
  <c r="J41" i="3"/>
  <c r="I41" i="3"/>
  <c r="K41" i="3" s="1"/>
  <c r="G41" i="3"/>
  <c r="A41" i="3"/>
  <c r="I40" i="3"/>
  <c r="M40" i="3" s="1"/>
  <c r="G40" i="3"/>
  <c r="A40" i="3"/>
  <c r="I39" i="3"/>
  <c r="N39" i="3" s="1"/>
  <c r="G39" i="3"/>
  <c r="A39" i="3"/>
  <c r="I38" i="3"/>
  <c r="N38" i="3" s="1"/>
  <c r="G38" i="3"/>
  <c r="A38" i="3"/>
  <c r="J37" i="3"/>
  <c r="I37" i="3"/>
  <c r="M37" i="3" s="1"/>
  <c r="G37" i="3"/>
  <c r="A37" i="3"/>
  <c r="N36" i="3"/>
  <c r="M36" i="3"/>
  <c r="L36" i="3"/>
  <c r="K36" i="3"/>
  <c r="J36" i="3"/>
  <c r="I36" i="3"/>
  <c r="G36" i="3"/>
  <c r="A36" i="3"/>
  <c r="I35" i="3"/>
  <c r="N35" i="3" s="1"/>
  <c r="G35" i="3"/>
  <c r="A35" i="3"/>
  <c r="I34" i="3"/>
  <c r="N34" i="3" s="1"/>
  <c r="G34" i="3"/>
  <c r="A34" i="3"/>
  <c r="I33" i="3"/>
  <c r="J33" i="3" s="1"/>
  <c r="G33" i="3"/>
  <c r="A33" i="3"/>
  <c r="I32" i="3"/>
  <c r="M32" i="3" s="1"/>
  <c r="G32" i="3"/>
  <c r="A32" i="3"/>
  <c r="I31" i="3"/>
  <c r="N31" i="3" s="1"/>
  <c r="G31" i="3"/>
  <c r="A31" i="3"/>
  <c r="I30" i="3"/>
  <c r="N30" i="3" s="1"/>
  <c r="G30" i="3"/>
  <c r="A30" i="3"/>
  <c r="N29" i="3"/>
  <c r="M29" i="3"/>
  <c r="L29" i="3"/>
  <c r="K29" i="3"/>
  <c r="I29" i="3"/>
  <c r="J29" i="3" s="1"/>
  <c r="G29" i="3"/>
  <c r="A29" i="3"/>
  <c r="I28" i="3"/>
  <c r="J28" i="3" s="1"/>
  <c r="G28" i="3"/>
  <c r="A28" i="3"/>
  <c r="I27" i="3"/>
  <c r="N27" i="3" s="1"/>
  <c r="G27" i="3"/>
  <c r="A27" i="3"/>
  <c r="I26" i="3"/>
  <c r="N26" i="3" s="1"/>
  <c r="G26" i="3"/>
  <c r="A26" i="3"/>
  <c r="I25" i="3"/>
  <c r="L25" i="3" s="1"/>
  <c r="G25" i="3"/>
  <c r="A25" i="3"/>
  <c r="N24" i="3"/>
  <c r="M24" i="3"/>
  <c r="L24" i="3"/>
  <c r="J24" i="3"/>
  <c r="I24" i="3"/>
  <c r="K24" i="3" s="1"/>
  <c r="G24" i="3"/>
  <c r="A24" i="3"/>
  <c r="I23" i="3"/>
  <c r="N23" i="3" s="1"/>
  <c r="G23" i="3"/>
  <c r="A23" i="3"/>
  <c r="I22" i="3"/>
  <c r="N22" i="3" s="1"/>
  <c r="G22" i="3"/>
  <c r="A22" i="3"/>
  <c r="I21" i="3"/>
  <c r="M21" i="3" s="1"/>
  <c r="G21" i="3"/>
  <c r="A21" i="3"/>
  <c r="J20" i="3"/>
  <c r="I20" i="3"/>
  <c r="M20" i="3" s="1"/>
  <c r="G20" i="3"/>
  <c r="A20" i="3"/>
  <c r="I19" i="3"/>
  <c r="N19" i="3" s="1"/>
  <c r="G19" i="3"/>
  <c r="A19" i="3"/>
  <c r="I18" i="3"/>
  <c r="N18" i="3" s="1"/>
  <c r="G18" i="3"/>
  <c r="A18" i="3"/>
  <c r="N17" i="3"/>
  <c r="I17" i="3"/>
  <c r="M17" i="3" s="1"/>
  <c r="G17" i="3"/>
  <c r="A17" i="3"/>
  <c r="I16" i="3"/>
  <c r="J16" i="3" s="1"/>
  <c r="G16" i="3"/>
  <c r="A16" i="3"/>
  <c r="I15" i="3"/>
  <c r="N15" i="3" s="1"/>
  <c r="G15" i="3"/>
  <c r="A15" i="3"/>
  <c r="I14" i="3"/>
  <c r="N14" i="3" s="1"/>
  <c r="G14" i="3"/>
  <c r="A14" i="3"/>
  <c r="N13" i="3"/>
  <c r="M13" i="3"/>
  <c r="L13" i="3"/>
  <c r="K13" i="3"/>
  <c r="J13" i="3"/>
  <c r="I13" i="3"/>
  <c r="G13" i="3"/>
  <c r="A13" i="3"/>
  <c r="N12" i="3"/>
  <c r="M12" i="3"/>
  <c r="L12" i="3"/>
  <c r="K12" i="3"/>
  <c r="I12" i="3"/>
  <c r="J12" i="3" s="1"/>
  <c r="G12" i="3"/>
  <c r="A12" i="3"/>
  <c r="I11" i="3"/>
  <c r="N11" i="3" s="1"/>
  <c r="G11" i="3"/>
  <c r="A11" i="3"/>
  <c r="I10" i="3"/>
  <c r="N10" i="3" s="1"/>
  <c r="G10" i="3"/>
  <c r="A10" i="3"/>
  <c r="I9" i="3"/>
  <c r="L9" i="3" s="1"/>
  <c r="G9" i="3"/>
  <c r="A9" i="3"/>
  <c r="I8" i="3"/>
  <c r="G8" i="3"/>
  <c r="A8" i="3"/>
  <c r="I7" i="3"/>
  <c r="N7" i="3" s="1"/>
  <c r="G7" i="3"/>
  <c r="A7" i="3"/>
  <c r="I6" i="3"/>
  <c r="G6" i="3"/>
  <c r="A6" i="3"/>
  <c r="I5" i="3"/>
  <c r="N5" i="3" s="1"/>
  <c r="G5" i="3"/>
  <c r="A5" i="3"/>
  <c r="I4" i="3"/>
  <c r="G4" i="3"/>
  <c r="G53" i="3" s="1"/>
  <c r="A4" i="3"/>
  <c r="I3" i="3"/>
  <c r="G3" i="3"/>
  <c r="A3" i="3"/>
  <c r="E112" i="7" l="1"/>
  <c r="E19" i="4"/>
  <c r="K8" i="3"/>
  <c r="I53" i="3"/>
  <c r="L8" i="3"/>
  <c r="K25" i="3"/>
  <c r="J48" i="3"/>
  <c r="J8" i="3"/>
  <c r="J25" i="3"/>
  <c r="N3" i="3"/>
  <c r="N37" i="3"/>
  <c r="J44" i="3"/>
  <c r="K44" i="3"/>
  <c r="N32" i="3"/>
  <c r="N49" i="3"/>
  <c r="K20" i="3"/>
  <c r="M25" i="3"/>
  <c r="K37" i="3"/>
  <c r="N8" i="3"/>
  <c r="L20" i="3"/>
  <c r="N25" i="3"/>
  <c r="J32" i="3"/>
  <c r="L37" i="3"/>
  <c r="N20" i="3"/>
  <c r="K32" i="3"/>
  <c r="L49" i="3"/>
  <c r="M49" i="3"/>
  <c r="J9" i="3"/>
  <c r="M44" i="3"/>
  <c r="J40" i="3"/>
  <c r="L32" i="3"/>
  <c r="C5" i="6"/>
  <c r="C7" i="6" s="1"/>
  <c r="J4" i="3"/>
  <c r="J21" i="3"/>
  <c r="N44" i="3"/>
  <c r="N9" i="3"/>
  <c r="K33" i="3"/>
  <c r="K40" i="3"/>
  <c r="J5" i="3"/>
  <c r="N28" i="3"/>
  <c r="J52" i="3"/>
  <c r="K5" i="3"/>
  <c r="L5" i="3"/>
  <c r="J17" i="3"/>
  <c r="N40" i="3"/>
  <c r="L52" i="3"/>
  <c r="K17" i="3"/>
  <c r="M52" i="3"/>
  <c r="M9" i="3"/>
  <c r="L4" i="3"/>
  <c r="L21" i="3"/>
  <c r="M4" i="3"/>
  <c r="K16" i="3"/>
  <c r="N21" i="3"/>
  <c r="K28" i="3"/>
  <c r="K45" i="3"/>
  <c r="N16" i="3"/>
  <c r="L28" i="3"/>
  <c r="M28" i="3"/>
  <c r="M45" i="3"/>
  <c r="L40" i="3"/>
  <c r="K52" i="3"/>
  <c r="L17" i="3"/>
  <c r="N4" i="3"/>
  <c r="L16" i="3"/>
  <c r="L33" i="3"/>
  <c r="M16" i="3"/>
  <c r="N45" i="3"/>
  <c r="K9" i="3"/>
  <c r="M33" i="3"/>
  <c r="N33" i="3"/>
  <c r="K4" i="3"/>
  <c r="K21" i="3"/>
  <c r="J45" i="3"/>
  <c r="N6" i="3"/>
  <c r="J10" i="3"/>
  <c r="J34" i="3"/>
  <c r="K18" i="3"/>
  <c r="K10" i="3"/>
  <c r="K30" i="3"/>
  <c r="K42" i="3"/>
  <c r="D10" i="1"/>
  <c r="J3" i="3"/>
  <c r="J11" i="3"/>
  <c r="J23" i="3"/>
  <c r="J31" i="3"/>
  <c r="J43" i="3"/>
  <c r="J51" i="3"/>
  <c r="K3" i="3"/>
  <c r="K11" i="3"/>
  <c r="K19" i="3"/>
  <c r="K27" i="3"/>
  <c r="K31" i="3"/>
  <c r="K35" i="3"/>
  <c r="K43" i="3"/>
  <c r="K47" i="3"/>
  <c r="K51" i="3"/>
  <c r="L51" i="3"/>
  <c r="J15" i="3"/>
  <c r="J39" i="3"/>
  <c r="K7" i="3"/>
  <c r="K15" i="3"/>
  <c r="K23" i="3"/>
  <c r="K39" i="3"/>
  <c r="L3" i="3"/>
  <c r="L7" i="3"/>
  <c r="L11" i="3"/>
  <c r="L15" i="3"/>
  <c r="L19" i="3"/>
  <c r="L23" i="3"/>
  <c r="L27" i="3"/>
  <c r="L31" i="3"/>
  <c r="L35" i="3"/>
  <c r="L39" i="3"/>
  <c r="L43" i="3"/>
  <c r="L47" i="3"/>
  <c r="M3" i="3"/>
  <c r="M7" i="3"/>
  <c r="M11" i="3"/>
  <c r="M15" i="3"/>
  <c r="M19" i="3"/>
  <c r="M23" i="3"/>
  <c r="M27" i="3"/>
  <c r="M31" i="3"/>
  <c r="M35" i="3"/>
  <c r="M39" i="3"/>
  <c r="M43" i="3"/>
  <c r="M47" i="3"/>
  <c r="M51" i="3"/>
  <c r="J6" i="3"/>
  <c r="J14" i="3"/>
  <c r="J18" i="3"/>
  <c r="J22" i="3"/>
  <c r="J26" i="3"/>
  <c r="J30" i="3"/>
  <c r="J38" i="3"/>
  <c r="J42" i="3"/>
  <c r="J46" i="3"/>
  <c r="J50" i="3"/>
  <c r="K6" i="3"/>
  <c r="K14" i="3"/>
  <c r="K22" i="3"/>
  <c r="K26" i="3"/>
  <c r="K34" i="3"/>
  <c r="K38" i="3"/>
  <c r="K46" i="3"/>
  <c r="K50" i="3"/>
  <c r="L6" i="3"/>
  <c r="L10" i="3"/>
  <c r="L14" i="3"/>
  <c r="L18" i="3"/>
  <c r="L22" i="3"/>
  <c r="L26" i="3"/>
  <c r="L30" i="3"/>
  <c r="L34" i="3"/>
  <c r="L38" i="3"/>
  <c r="L42" i="3"/>
  <c r="L46" i="3"/>
  <c r="L50" i="3"/>
  <c r="D8" i="1"/>
  <c r="M8" i="3" s="1"/>
  <c r="M6" i="3"/>
  <c r="M10" i="3"/>
  <c r="M14" i="3"/>
  <c r="M18" i="3"/>
  <c r="M22" i="3"/>
  <c r="M26" i="3"/>
  <c r="M30" i="3"/>
  <c r="M34" i="3"/>
  <c r="M38" i="3"/>
  <c r="M42" i="3"/>
  <c r="M46" i="3"/>
  <c r="M50" i="3"/>
  <c r="J7" i="3"/>
  <c r="J19" i="3"/>
  <c r="J27" i="3"/>
  <c r="J35" i="3"/>
  <c r="J47" i="3"/>
  <c r="D12" i="4" l="1"/>
  <c r="F12" i="4" s="1"/>
  <c r="K53" i="3"/>
  <c r="D13" i="4"/>
  <c r="F13" i="4" s="1"/>
  <c r="L53" i="3"/>
  <c r="D11" i="4"/>
  <c r="F11" i="4" s="1"/>
  <c r="J53" i="3"/>
  <c r="D15" i="4"/>
  <c r="F15" i="4" s="1"/>
  <c r="N53" i="3"/>
  <c r="M5" i="3"/>
  <c r="D14" i="4" s="1"/>
  <c r="F14" i="4" s="1"/>
  <c r="D6" i="4" l="1"/>
  <c r="C13" i="6"/>
  <c r="C10" i="6"/>
  <c r="D3" i="4"/>
  <c r="C12" i="6"/>
  <c r="D5" i="4"/>
  <c r="D7" i="4"/>
  <c r="C14" i="6"/>
  <c r="M53" i="3"/>
  <c r="D4" i="4"/>
  <c r="C11" i="6"/>
  <c r="F4" i="4" l="1"/>
  <c r="E4" i="4"/>
  <c r="F7" i="4"/>
  <c r="E7" i="4"/>
  <c r="F5" i="4"/>
  <c r="E5" i="4"/>
  <c r="F3" i="4"/>
  <c r="E3" i="4"/>
  <c r="C15" i="6"/>
  <c r="C16" i="6" s="1"/>
  <c r="F6" i="4"/>
  <c r="E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1" authorId="0" shapeId="0" xr:uid="{00000000-0006-0000-0300-000001000000}">
      <text>
        <r>
          <rPr>
            <sz val="10"/>
            <rFont val="Arial"/>
            <family val="2"/>
          </rPr>
          <t>Setup snapshot = allocations already inside your Opening balance at setup. Here it's 0, so every project shows its full contribution. Don't edit.</t>
        </r>
      </text>
    </comment>
  </commentList>
</comments>
</file>

<file path=xl/sharedStrings.xml><?xml version="1.0" encoding="utf-8"?>
<sst xmlns="http://schemas.openxmlformats.org/spreadsheetml/2006/main" count="281" uniqueCount="175">
  <si>
    <t>⚙️  DZ Infotech — Settings &amp; Configuration   ·   SAMPLE (dummy training data)</t>
  </si>
  <si>
    <t>A.  Bucket Allocation Rules  (% auto-calculated from targets — must total ₹7,00,000)</t>
  </si>
  <si>
    <t>Bucket</t>
  </si>
  <si>
    <t>Target (₹)</t>
  </si>
  <si>
    <t>% of ₹7L</t>
  </si>
  <si>
    <t>Employee</t>
  </si>
  <si>
    <t>Probation Reserve</t>
  </si>
  <si>
    <t>Contrack Expense</t>
  </si>
  <si>
    <t>Profit</t>
  </si>
  <si>
    <t>Company Expense</t>
  </si>
  <si>
    <t>TOTAL TARGET</t>
  </si>
  <si>
    <t>B.  Monthly Revenue Goal &amp; Deadline</t>
  </si>
  <si>
    <t>Goal</t>
  </si>
  <si>
    <t>Value</t>
  </si>
  <si>
    <t>Note</t>
  </si>
  <si>
    <t>Monthly Revenue Target</t>
  </si>
  <si>
    <t>What we aim to collect this month</t>
  </si>
  <si>
    <t>Monthly Revenue Deadline</t>
  </si>
  <si>
    <t>Enter as date e.g. 30-Jun-2026</t>
  </si>
  <si>
    <t>C.  Founder Names</t>
  </si>
  <si>
    <t>Founder 1 Name</t>
  </si>
  <si>
    <t>Rohan</t>
  </si>
  <si>
    <t>Founder 2 Name</t>
  </si>
  <si>
    <t>Karan</t>
  </si>
  <si>
    <t>D.  Color Legend</t>
  </si>
  <si>
    <t>Blue text  = Input cell — you type here</t>
  </si>
  <si>
    <t>Black text = Formula — do not edit</t>
  </si>
  <si>
    <t>Green text = Linked / auto-calculated</t>
  </si>
  <si>
    <t>🟡  Lead Pipeline — Prospects Not Yet Closed</t>
  </si>
  <si>
    <t>#</t>
  </si>
  <si>
    <t>Client / Company</t>
  </si>
  <si>
    <t>Contact Person</t>
  </si>
  <si>
    <t>Phone</t>
  </si>
  <si>
    <t>Service Interested</t>
  </si>
  <si>
    <t>Expected Revenue</t>
  </si>
  <si>
    <t>Lead Source</t>
  </si>
  <si>
    <t>Lead Status</t>
  </si>
  <si>
    <t>Last Follow-up</t>
  </si>
  <si>
    <t>Next Follow-up</t>
  </si>
  <si>
    <t>Follow-up Notes</t>
  </si>
  <si>
    <t>Convert →</t>
  </si>
  <si>
    <t>NovaMart</t>
  </si>
  <si>
    <t>Kiran Patel</t>
  </si>
  <si>
    <t>Website</t>
  </si>
  <si>
    <t>Walk-in</t>
  </si>
  <si>
    <t>Proposal Sent</t>
  </si>
  <si>
    <t>Wants product catalog site</t>
  </si>
  <si>
    <t>✅ Done? Add to Projects sheet →</t>
  </si>
  <si>
    <t>FitZone Gym</t>
  </si>
  <si>
    <t>Amit Shah</t>
  </si>
  <si>
    <t>Custom Software</t>
  </si>
  <si>
    <t>Referral</t>
  </si>
  <si>
    <t>Negotiating</t>
  </si>
  <si>
    <t>Membership tracking app</t>
  </si>
  <si>
    <t>Kalyan Jewels</t>
  </si>
  <si>
    <t>Meera Joshi</t>
  </si>
  <si>
    <t>Instagram</t>
  </si>
  <si>
    <t>Demo Scheduled</t>
  </si>
  <si>
    <t>UrbanBrew</t>
  </si>
  <si>
    <t>Sameer Rao</t>
  </si>
  <si>
    <t>Web App</t>
  </si>
  <si>
    <t>Cold Call</t>
  </si>
  <si>
    <t>Contacted</t>
  </si>
  <si>
    <t>PrimeCare Clinic</t>
  </si>
  <si>
    <t>Dr. Nair</t>
  </si>
  <si>
    <t>PA Network</t>
  </si>
  <si>
    <t>New</t>
  </si>
  <si>
    <t>StyleHub</t>
  </si>
  <si>
    <t>Neha Verma</t>
  </si>
  <si>
    <t>TOTALS</t>
  </si>
  <si>
    <t>ℹ️  How to move a closed lead to Projects</t>
  </si>
  <si>
    <t>When a lead converts to a paying client:
  1.  Go to 📋 Projects sheet → add a new row with client name, project name, agreed amount
  2.  Come back here and delete this row OR set Status = 'Lost' to keep history
  3.  Tip: Keep the lead row as 'Negotiating' until the first payment is confirmed — then add to Projects and remove from here.
  4.  Sort column J (Next Follow-up) to see who to call today.</t>
  </si>
  <si>
    <t>💡  If Next Follow-up date (column J) is in the past, that lead is overdue. Sort by column J each Monday morning to build your call list for the week.</t>
  </si>
  <si>
    <t>📋  DZ Infotech — Project Tracker   ·   SAMPLE (dummy training data)</t>
  </si>
  <si>
    <t>Client Name</t>
  </si>
  <si>
    <t>Project Name</t>
  </si>
  <si>
    <t>Service Type</t>
  </si>
  <si>
    <t>Total Amount</t>
  </si>
  <si>
    <t>Amount Received</t>
  </si>
  <si>
    <t>Pending</t>
  </si>
  <si>
    <t>Incentive</t>
  </si>
  <si>
    <t>Net Received</t>
  </si>
  <si>
    <t>Employee Alloc</t>
  </si>
  <si>
    <t>Probation Alloc</t>
  </si>
  <si>
    <t>Contrack Alloc</t>
  </si>
  <si>
    <t>Profit Alloc</t>
  </si>
  <si>
    <t>Company Alloc</t>
  </si>
  <si>
    <t>Date Received</t>
  </si>
  <si>
    <t>Follow-up Date</t>
  </si>
  <si>
    <t>Expected Completion</t>
  </si>
  <si>
    <t>Status</t>
  </si>
  <si>
    <t>Notes</t>
  </si>
  <si>
    <t>Acme Traders</t>
  </si>
  <si>
    <t>Business Website</t>
  </si>
  <si>
    <t>In Progress</t>
  </si>
  <si>
    <t>Sunrise Foods</t>
  </si>
  <si>
    <t>Inventory App</t>
  </si>
  <si>
    <t>Completed &amp; Paid</t>
  </si>
  <si>
    <t>Metro Interiors</t>
  </si>
  <si>
    <t>Portfolio Site</t>
  </si>
  <si>
    <t>BlueWave Tech</t>
  </si>
  <si>
    <t>CRM Setup</t>
  </si>
  <si>
    <t>GreenLeaf Cafe</t>
  </si>
  <si>
    <t>Ordering Site</t>
  </si>
  <si>
    <t>On Hold</t>
  </si>
  <si>
    <t>Sharma Textiles</t>
  </si>
  <si>
    <t>E-commerce Store</t>
  </si>
  <si>
    <t>💰  Money Buckets — Cumulative Progress</t>
  </si>
  <si>
    <t>Target</t>
  </si>
  <si>
    <t>Current Balance</t>
  </si>
  <si>
    <t>Remaining</t>
  </si>
  <si>
    <t>Progress %</t>
  </si>
  <si>
    <t>🔄  Bucket Movement Detail  (Current = Opening + money in − money out)</t>
  </si>
  <si>
    <t>Setup snapshot — do not edit</t>
  </si>
  <si>
    <t>Opening Balance</t>
  </si>
  <si>
    <t>In (Projects)</t>
  </si>
  <si>
    <t>Out (Expenses)</t>
  </si>
  <si>
    <t>Alloc base</t>
  </si>
  <si>
    <t>Spent base</t>
  </si>
  <si>
    <t>📅  Monthly Revenue Goal</t>
  </si>
  <si>
    <t>Collected This Month</t>
  </si>
  <si>
    <t>Days Left</t>
  </si>
  <si>
    <t>Monthly Revenue</t>
  </si>
  <si>
    <t>ℹ️  Opening balances are your real bucket amounts at setup. Every project payment auto-splits across buckets by % (Settings). Expenses subtract from the matching bucket. All buckets also reflect in 🏦 Bank Balance.</t>
  </si>
  <si>
    <t>🔴  Pending Dues Tracker — People We Owe</t>
  </si>
  <si>
    <t>Person / Vendor</t>
  </si>
  <si>
    <t>Role / Work Done</t>
  </si>
  <si>
    <t>Total Owed</t>
  </si>
  <si>
    <t>Paid So Far</t>
  </si>
  <si>
    <t>Balance Remaining</t>
  </si>
  <si>
    <t>Last Payment Date</t>
  </si>
  <si>
    <t>Rahul Sharma</t>
  </si>
  <si>
    <t>Freelance design</t>
  </si>
  <si>
    <t>Priya Designs</t>
  </si>
  <si>
    <t>Logo work</t>
  </si>
  <si>
    <t>TechSupply Co</t>
  </si>
  <si>
    <t>Hardware purchase</t>
  </si>
  <si>
    <t>🏦  Bank Balance &amp; Reserve Tracker</t>
  </si>
  <si>
    <t>Live Bank Position (auto-updates)</t>
  </si>
  <si>
    <t>Opening Bank Balance (setup)</t>
  </si>
  <si>
    <t>Your real bank balance at setup — adjust to re-baseline anytime</t>
  </si>
  <si>
    <t>Setup baseline ↓</t>
  </si>
  <si>
    <t>+ Received since setup</t>
  </si>
  <si>
    <t>Auto: net project money in since setup</t>
  </si>
  <si>
    <t>− Spent since setup</t>
  </si>
  <si>
    <t>Auto: expenses logged since setup</t>
  </si>
  <si>
    <t>Total Bank Balance</t>
  </si>
  <si>
    <t>Auto: opening + money in − money out</t>
  </si>
  <si>
    <t>Reserved in Buckets (from 💰 Money Buckets)</t>
  </si>
  <si>
    <t>Total in Buckets</t>
  </si>
  <si>
    <t>Sum of all 5 buckets</t>
  </si>
  <si>
    <t>Unreserved (Bank − Buckets)</t>
  </si>
  <si>
    <t>Cash not yet earmarked to a bucket</t>
  </si>
  <si>
    <t>ℹ️  Total Bank Balance now updates automatically: project payments add in, expenses subtract out. Adjust 'Opening Bank Balance' only if your real bank differs (then update the setup baseline cell beside it).</t>
  </si>
  <si>
    <t>Monthly Snapshot — Manual Log</t>
  </si>
  <si>
    <t>Month</t>
  </si>
  <si>
    <t>Bank Balance</t>
  </si>
  <si>
    <t>June 2026</t>
  </si>
  <si>
    <t>July 2026</t>
  </si>
  <si>
    <t>August 2026</t>
  </si>
  <si>
    <t>September 2026</t>
  </si>
  <si>
    <t>October 2026</t>
  </si>
  <si>
    <t>November 2026</t>
  </si>
  <si>
    <t>💸  Expense Log — Every Outflow Recorded</t>
  </si>
  <si>
    <t>Date</t>
  </si>
  <si>
    <t>Category</t>
  </si>
  <si>
    <t>Payee / Description</t>
  </si>
  <si>
    <t>Amount</t>
  </si>
  <si>
    <t>Salary - June batch</t>
  </si>
  <si>
    <t>Office rent</t>
  </si>
  <si>
    <t>Server hosting</t>
  </si>
  <si>
    <t>Founder withdrawal</t>
  </si>
  <si>
    <t>Summary by Category</t>
  </si>
  <si>
    <t>Total Paid Out</t>
  </si>
  <si>
    <t>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</si>
</sst>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;&quot;(₹&quot;#,##0\);\-"/>
    <numFmt numFmtId="165" formatCode="0.0%"/>
    <numFmt numFmtId="166" formatCode="dd\-mmm\-yyyy"/>
    <numFmt numFmtId="167" formatCode="0&quot; days&quot;"/>
  </numFmts>
  <fonts count="4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9"/>
      <color rgb="FF1A2E4A"/>
      <name val="Arial"/>
      <charset val="1"/>
    </font>
    <font>
      <sz val="9"/>
      <color rgb="FF1A2E4A"/>
      <name val="Arial"/>
      <charset val="1"/>
    </font>
    <font>
      <sz val="9"/>
      <color rgb="FF0000FF"/>
      <name val="Arial"/>
      <charset val="1"/>
    </font>
    <font>
      <sz val="9"/>
      <color rgb="FF0F6E56"/>
      <name val="Arial"/>
      <charset val="1"/>
    </font>
    <font>
      <b/>
      <sz val="9"/>
      <color rgb="FF0F6E56"/>
      <name val="Arial"/>
      <charset val="1"/>
    </font>
    <font>
      <sz val="9"/>
      <color rgb="FF666666"/>
      <name val="Arial"/>
      <charset val="1"/>
    </font>
    <font>
      <b/>
      <sz val="9"/>
      <color rgb="FF0000FF"/>
      <name val="Arial"/>
      <charset val="1"/>
    </font>
    <font>
      <b/>
      <sz val="9"/>
      <color rgb="FF000000"/>
      <name val="Arial"/>
      <charset val="1"/>
    </font>
    <font>
      <b/>
      <sz val="9"/>
      <color rgb="FF008000"/>
      <name val="Arial"/>
      <charset val="1"/>
    </font>
    <font>
      <b/>
      <sz val="9"/>
      <color rgb="FFFFFFFF"/>
      <name val="Arial"/>
      <charset val="1"/>
    </font>
    <font>
      <sz val="9"/>
      <color rgb="FF888888"/>
      <name val="Arial"/>
      <charset val="1"/>
    </font>
    <font>
      <i/>
      <sz val="8"/>
      <color rgb="FF854F0B"/>
      <name val="Arial"/>
      <charset val="1"/>
    </font>
    <font>
      <i/>
      <sz val="9"/>
      <color rgb="FF854F0B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sz val="9"/>
      <color rgb="FF008000"/>
      <name val="Arial"/>
      <charset val="1"/>
    </font>
    <font>
      <b/>
      <sz val="10"/>
      <color rgb="FF185FA5"/>
      <name val="Arial"/>
      <charset val="1"/>
    </font>
    <font>
      <sz val="9"/>
      <color rgb="FF185FA5"/>
      <name val="Arial"/>
      <charset val="1"/>
    </font>
    <font>
      <b/>
      <sz val="9"/>
      <color rgb="FF185FA5"/>
      <name val="Arial"/>
      <charset val="1"/>
    </font>
    <font>
      <b/>
      <sz val="10"/>
      <color rgb="FF0F6E56"/>
      <name val="Arial"/>
      <charset val="1"/>
    </font>
    <font>
      <b/>
      <sz val="10"/>
      <color rgb="FF854F0B"/>
      <name val="Arial"/>
      <charset val="1"/>
    </font>
    <font>
      <sz val="9"/>
      <color rgb="FF854F0B"/>
      <name val="Arial"/>
      <charset val="1"/>
    </font>
    <font>
      <b/>
      <sz val="9"/>
      <color rgb="FF854F0B"/>
      <name val="Arial"/>
      <charset val="1"/>
    </font>
    <font>
      <b/>
      <sz val="10"/>
      <color rgb="FF4A1A6E"/>
      <name val="Arial"/>
      <charset val="1"/>
    </font>
    <font>
      <sz val="9"/>
      <color rgb="FF4A1A6E"/>
      <name val="Arial"/>
      <charset val="1"/>
    </font>
    <font>
      <b/>
      <sz val="9"/>
      <color rgb="FF4A1A6E"/>
      <name val="Arial"/>
      <charset val="1"/>
    </font>
    <font>
      <b/>
      <sz val="10"/>
      <color rgb="FF9A3412"/>
      <name val="Arial"/>
      <charset val="1"/>
    </font>
    <font>
      <sz val="9"/>
      <color rgb="FF9A3412"/>
      <name val="Arial"/>
      <charset val="1"/>
    </font>
    <font>
      <b/>
      <sz val="9"/>
      <color rgb="FF9A3412"/>
      <name val="Arial"/>
      <charset val="1"/>
    </font>
    <font>
      <b/>
      <sz val="10"/>
      <color rgb="FF1A2E4A"/>
      <name val="Arial"/>
      <charset val="1"/>
    </font>
    <font>
      <i/>
      <sz val="8"/>
      <color rgb="FF999999"/>
      <name val="Arial"/>
      <charset val="1"/>
    </font>
    <font>
      <sz val="8"/>
      <color rgb="FF999999"/>
      <name val="Arial"/>
      <charset val="1"/>
    </font>
    <font>
      <i/>
      <sz val="9"/>
      <color rgb="FF666666"/>
      <name val="Arial"/>
      <charset val="1"/>
    </font>
    <font>
      <sz val="10"/>
      <name val="Arial"/>
      <family val="2"/>
    </font>
    <font>
      <b/>
      <sz val="10"/>
      <color rgb="FF0000FF"/>
      <name val="Arial"/>
      <charset val="1"/>
    </font>
    <font>
      <b/>
      <sz val="13"/>
      <color rgb="FF1A2E4A"/>
      <name val="Arial"/>
      <charset val="1"/>
    </font>
    <font>
      <b/>
      <sz val="13"/>
      <color rgb="FF0F6E56"/>
      <name val="Arial"/>
      <charset val="1"/>
    </font>
    <font>
      <b/>
      <sz val="10"/>
      <color rgb="FF008000"/>
      <name val="Arial"/>
      <charset val="1"/>
    </font>
    <font>
      <b/>
      <sz val="10"/>
      <color rgb="FF666666"/>
      <name val="Arial"/>
      <charset val="1"/>
    </font>
    <font>
      <b/>
      <sz val="9"/>
      <color rgb="FFA32D2D"/>
      <name val="Arial"/>
      <charset val="1"/>
    </font>
    <font>
      <b/>
      <sz val="10"/>
      <color rgb="FFA32D2D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1A2E4A"/>
        <bgColor rgb="FF333300"/>
      </patternFill>
    </fill>
    <fill>
      <patternFill patternType="solid">
        <fgColor rgb="FF0D7377"/>
        <bgColor rgb="FF0F6E56"/>
      </patternFill>
    </fill>
    <fill>
      <patternFill patternType="solid">
        <fgColor rgb="FFF4F6F8"/>
        <bgColor rgb="FFE8F1FB"/>
      </patternFill>
    </fill>
    <fill>
      <patternFill patternType="solid">
        <fgColor rgb="FFFFFFFF"/>
        <bgColor rgb="FFF4F6F8"/>
      </patternFill>
    </fill>
    <fill>
      <patternFill patternType="solid">
        <fgColor rgb="FFE8EDF2"/>
        <bgColor rgb="FFE8F1FB"/>
      </patternFill>
    </fill>
    <fill>
      <patternFill patternType="solid">
        <fgColor rgb="FFFDF6E3"/>
        <bgColor rgb="FFFEF3CD"/>
      </patternFill>
    </fill>
    <fill>
      <patternFill patternType="solid">
        <fgColor rgb="FFC9A84C"/>
        <bgColor rgb="FF999999"/>
      </patternFill>
    </fill>
    <fill>
      <patternFill patternType="solid">
        <fgColor rgb="FFD6F0F0"/>
        <bgColor rgb="FFE1F5EE"/>
      </patternFill>
    </fill>
    <fill>
      <patternFill patternType="solid">
        <fgColor rgb="FFFEF3CD"/>
        <bgColor rgb="FFFDF6E3"/>
      </patternFill>
    </fill>
    <fill>
      <patternFill patternType="solid">
        <fgColor rgb="FF0D5C6B"/>
        <bgColor rgb="FF0F6E56"/>
      </patternFill>
    </fill>
    <fill>
      <patternFill patternType="solid">
        <fgColor rgb="FFE8F1FB"/>
        <bgColor rgb="FFE6F1FB"/>
      </patternFill>
    </fill>
    <fill>
      <patternFill patternType="solid">
        <fgColor rgb="FFE1F5EE"/>
        <bgColor rgb="FFE6F1FB"/>
      </patternFill>
    </fill>
    <fill>
      <patternFill patternType="solid">
        <fgColor rgb="FFF3E8FB"/>
        <bgColor rgb="FFF0E8FF"/>
      </patternFill>
    </fill>
    <fill>
      <patternFill patternType="solid">
        <fgColor rgb="FFFCE9E0"/>
        <bgColor rgb="FFFCEBEB"/>
      </patternFill>
    </fill>
    <fill>
      <patternFill patternType="solid">
        <fgColor rgb="FFFCEBEB"/>
        <bgColor rgb="FFFCE9E0"/>
      </patternFill>
    </fill>
    <fill>
      <patternFill patternType="solid">
        <fgColor rgb="FFE6F1FB"/>
        <bgColor rgb="FFE8F1FB"/>
      </patternFill>
    </fill>
    <fill>
      <patternFill patternType="solid">
        <fgColor rgb="FFF0E8FF"/>
        <bgColor rgb="FFF3E8FB"/>
      </patternFill>
    </fill>
  </fills>
  <borders count="4">
    <border>
      <left/>
      <right/>
      <top/>
      <bottom/>
      <diagonal/>
    </border>
    <border>
      <left style="thin">
        <color rgb="FFD0D6DE"/>
      </left>
      <right style="thin">
        <color rgb="FFD0D6DE"/>
      </right>
      <top style="thin">
        <color rgb="FFD0D6DE"/>
      </top>
      <bottom style="thin">
        <color rgb="FFD0D6D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0D6DE"/>
      </left>
      <right/>
      <top style="thin">
        <color rgb="FFD0D6DE"/>
      </top>
      <bottom style="thin">
        <color rgb="FFD0D6DE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34" fillId="0" borderId="0" xfId="0" applyFont="1" applyAlignment="1">
      <alignment horizontal="left" vertical="center"/>
    </xf>
    <xf numFmtId="0" fontId="34" fillId="0" borderId="0" xfId="0" applyFont="1"/>
    <xf numFmtId="0" fontId="1" fillId="2" borderId="0" xfId="0" applyFont="1" applyFill="1" applyAlignment="1">
      <alignment horizontal="left" vertical="center"/>
    </xf>
    <xf numFmtId="0" fontId="31" fillId="4" borderId="0" xfId="0" applyFont="1" applyFill="1" applyAlignment="1">
      <alignment horizontal="left" vertical="center"/>
    </xf>
    <xf numFmtId="0" fontId="14" fillId="10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8" fillId="0" borderId="0" xfId="0" applyFont="1"/>
    <xf numFmtId="0" fontId="1" fillId="3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right" vertical="center"/>
    </xf>
    <xf numFmtId="165" fontId="5" fillId="5" borderId="2" xfId="0" applyNumberFormat="1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164" fontId="4" fillId="7" borderId="2" xfId="0" applyNumberFormat="1" applyFont="1" applyFill="1" applyBorder="1" applyAlignment="1">
      <alignment horizontal="right" vertical="center"/>
    </xf>
    <xf numFmtId="165" fontId="5" fillId="7" borderId="2" xfId="0" applyNumberFormat="1" applyFont="1" applyFill="1" applyBorder="1" applyAlignment="1">
      <alignment horizontal="left" vertical="center"/>
    </xf>
    <xf numFmtId="0" fontId="3" fillId="0" borderId="2" xfId="0" applyFont="1" applyBorder="1"/>
    <xf numFmtId="164" fontId="4" fillId="0" borderId="2" xfId="0" applyNumberFormat="1" applyFont="1" applyBorder="1"/>
    <xf numFmtId="165" fontId="5" fillId="0" borderId="2" xfId="0" applyNumberFormat="1" applyFont="1" applyBorder="1"/>
    <xf numFmtId="0" fontId="2" fillId="7" borderId="2" xfId="0" applyFont="1" applyFill="1" applyBorder="1" applyAlignment="1">
      <alignment horizontal="left" vertical="center"/>
    </xf>
    <xf numFmtId="164" fontId="2" fillId="7" borderId="2" xfId="0" applyNumberFormat="1" applyFont="1" applyFill="1" applyBorder="1"/>
    <xf numFmtId="165" fontId="6" fillId="7" borderId="2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166" fontId="4" fillId="5" borderId="2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4" fillId="0" borderId="2" xfId="0" applyFont="1" applyBorder="1"/>
    <xf numFmtId="0" fontId="0" fillId="0" borderId="2" xfId="0" applyBorder="1"/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164" fontId="11" fillId="3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15" fillId="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164" fontId="16" fillId="5" borderId="1" xfId="0" applyNumberFormat="1" applyFont="1" applyFill="1" applyBorder="1" applyAlignment="1">
      <alignment horizontal="right" vertical="center"/>
    </xf>
    <xf numFmtId="164" fontId="17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164" fontId="16" fillId="4" borderId="1" xfId="0" applyNumberFormat="1" applyFont="1" applyFill="1" applyBorder="1" applyAlignment="1">
      <alignment horizontal="right" vertical="center"/>
    </xf>
    <xf numFmtId="164" fontId="17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left" vertical="center"/>
    </xf>
    <xf numFmtId="164" fontId="17" fillId="12" borderId="2" xfId="0" applyNumberFormat="1" applyFont="1" applyFill="1" applyBorder="1" applyAlignment="1">
      <alignment horizontal="right" vertical="center"/>
    </xf>
    <xf numFmtId="164" fontId="18" fillId="12" borderId="2" xfId="0" applyNumberFormat="1" applyFont="1" applyFill="1" applyBorder="1" applyAlignment="1">
      <alignment horizontal="right" vertical="center"/>
    </xf>
    <xf numFmtId="164" fontId="19" fillId="12" borderId="2" xfId="0" applyNumberFormat="1" applyFont="1" applyFill="1" applyBorder="1" applyAlignment="1">
      <alignment horizontal="right" vertical="center"/>
    </xf>
    <xf numFmtId="0" fontId="20" fillId="12" borderId="2" xfId="0" applyFont="1" applyFill="1" applyBorder="1" applyAlignment="1">
      <alignment horizontal="center" vertical="center"/>
    </xf>
    <xf numFmtId="0" fontId="21" fillId="13" borderId="2" xfId="0" applyFont="1" applyFill="1" applyBorder="1" applyAlignment="1">
      <alignment horizontal="left" vertical="center"/>
    </xf>
    <xf numFmtId="164" fontId="17" fillId="13" borderId="2" xfId="0" applyNumberFormat="1" applyFont="1" applyFill="1" applyBorder="1" applyAlignment="1">
      <alignment horizontal="right" vertical="center"/>
    </xf>
    <xf numFmtId="164" fontId="21" fillId="13" borderId="2" xfId="0" applyNumberFormat="1" applyFont="1" applyFill="1" applyBorder="1" applyAlignment="1">
      <alignment horizontal="right" vertical="center"/>
    </xf>
    <xf numFmtId="164" fontId="5" fillId="13" borderId="2" xfId="0" applyNumberFormat="1" applyFont="1" applyFill="1" applyBorder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22" fillId="10" borderId="2" xfId="0" applyFont="1" applyFill="1" applyBorder="1" applyAlignment="1">
      <alignment horizontal="left" vertical="center"/>
    </xf>
    <xf numFmtId="164" fontId="17" fillId="10" borderId="2" xfId="0" applyNumberFormat="1" applyFont="1" applyFill="1" applyBorder="1" applyAlignment="1">
      <alignment horizontal="right" vertical="center"/>
    </xf>
    <xf numFmtId="164" fontId="22" fillId="10" borderId="2" xfId="0" applyNumberFormat="1" applyFont="1" applyFill="1" applyBorder="1" applyAlignment="1">
      <alignment horizontal="right" vertical="center"/>
    </xf>
    <xf numFmtId="164" fontId="23" fillId="10" borderId="2" xfId="0" applyNumberFormat="1" applyFont="1" applyFill="1" applyBorder="1" applyAlignment="1">
      <alignment horizontal="right" vertical="center"/>
    </xf>
    <xf numFmtId="0" fontId="24" fillId="10" borderId="2" xfId="0" applyFont="1" applyFill="1" applyBorder="1" applyAlignment="1">
      <alignment horizontal="center" vertical="center"/>
    </xf>
    <xf numFmtId="0" fontId="25" fillId="14" borderId="2" xfId="0" applyFont="1" applyFill="1" applyBorder="1"/>
    <xf numFmtId="164" fontId="17" fillId="14" borderId="2" xfId="0" applyNumberFormat="1" applyFont="1" applyFill="1" applyBorder="1" applyAlignment="1">
      <alignment horizontal="right"/>
    </xf>
    <xf numFmtId="164" fontId="25" fillId="14" borderId="2" xfId="0" applyNumberFormat="1" applyFont="1" applyFill="1" applyBorder="1" applyAlignment="1">
      <alignment horizontal="right"/>
    </xf>
    <xf numFmtId="164" fontId="26" fillId="14" borderId="2" xfId="0" applyNumberFormat="1" applyFont="1" applyFill="1" applyBorder="1" applyAlignment="1">
      <alignment horizontal="right"/>
    </xf>
    <xf numFmtId="0" fontId="27" fillId="14" borderId="2" xfId="0" applyFont="1" applyFill="1" applyBorder="1" applyAlignment="1">
      <alignment horizontal="right"/>
    </xf>
    <xf numFmtId="0" fontId="28" fillId="15" borderId="2" xfId="0" applyFont="1" applyFill="1" applyBorder="1"/>
    <xf numFmtId="164" fontId="17" fillId="15" borderId="2" xfId="0" applyNumberFormat="1" applyFont="1" applyFill="1" applyBorder="1" applyAlignment="1">
      <alignment horizontal="right"/>
    </xf>
    <xf numFmtId="164" fontId="28" fillId="15" borderId="2" xfId="0" applyNumberFormat="1" applyFont="1" applyFill="1" applyBorder="1" applyAlignment="1">
      <alignment horizontal="right"/>
    </xf>
    <xf numFmtId="164" fontId="29" fillId="15" borderId="2" xfId="0" applyNumberFormat="1" applyFont="1" applyFill="1" applyBorder="1" applyAlignment="1">
      <alignment horizontal="right"/>
    </xf>
    <xf numFmtId="0" fontId="30" fillId="15" borderId="2" xfId="0" applyFont="1" applyFill="1" applyBorder="1" applyAlignment="1">
      <alignment horizontal="right"/>
    </xf>
    <xf numFmtId="0" fontId="1" fillId="0" borderId="0" xfId="0" applyFont="1" applyAlignment="1">
      <alignment horizontal="left" vertical="center"/>
    </xf>
    <xf numFmtId="0" fontId="32" fillId="0" borderId="0" xfId="0" applyFont="1"/>
    <xf numFmtId="164" fontId="15" fillId="3" borderId="2" xfId="0" applyNumberFormat="1" applyFont="1" applyFill="1" applyBorder="1" applyAlignment="1">
      <alignment horizontal="center" vertical="center"/>
    </xf>
    <xf numFmtId="167" fontId="15" fillId="3" borderId="2" xfId="0" applyNumberFormat="1" applyFont="1" applyFill="1" applyBorder="1" applyAlignment="1">
      <alignment horizontal="center" vertical="center"/>
    </xf>
    <xf numFmtId="0" fontId="20" fillId="0" borderId="2" xfId="0" applyFont="1" applyBorder="1"/>
    <xf numFmtId="164" fontId="17" fillId="0" borderId="2" xfId="0" applyNumberFormat="1" applyFont="1" applyBorder="1"/>
    <xf numFmtId="164" fontId="20" fillId="0" borderId="2" xfId="0" applyNumberFormat="1" applyFont="1" applyBorder="1"/>
    <xf numFmtId="164" fontId="33" fillId="0" borderId="0" xfId="0" applyNumberFormat="1" applyFont="1"/>
    <xf numFmtId="0" fontId="6" fillId="0" borderId="2" xfId="0" applyFont="1" applyBorder="1" applyAlignment="1">
      <alignment horizontal="left" vertical="center" wrapText="1"/>
    </xf>
    <xf numFmtId="164" fontId="6" fillId="0" borderId="2" xfId="0" applyNumberFormat="1" applyFont="1" applyBorder="1"/>
    <xf numFmtId="0" fontId="24" fillId="0" borderId="2" xfId="0" applyFont="1" applyBorder="1"/>
    <xf numFmtId="164" fontId="24" fillId="0" borderId="2" xfId="0" applyNumberFormat="1" applyFont="1" applyBorder="1"/>
    <xf numFmtId="0" fontId="27" fillId="0" borderId="2" xfId="0" applyFont="1" applyBorder="1"/>
    <xf numFmtId="164" fontId="27" fillId="0" borderId="2" xfId="0" applyNumberFormat="1" applyFont="1" applyBorder="1"/>
    <xf numFmtId="0" fontId="30" fillId="0" borderId="2" xfId="0" applyFont="1" applyBorder="1"/>
    <xf numFmtId="164" fontId="30" fillId="0" borderId="2" xfId="0" applyNumberFormat="1" applyFont="1" applyBorder="1"/>
    <xf numFmtId="164" fontId="19" fillId="0" borderId="2" xfId="0" applyNumberFormat="1" applyFont="1" applyBorder="1"/>
    <xf numFmtId="167" fontId="20" fillId="0" borderId="2" xfId="0" applyNumberFormat="1" applyFont="1" applyBorder="1"/>
    <xf numFmtId="0" fontId="16" fillId="5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left" vertical="center"/>
    </xf>
    <xf numFmtId="164" fontId="36" fillId="0" borderId="2" xfId="0" applyNumberFormat="1" applyFont="1" applyBorder="1" applyAlignment="1">
      <alignment horizontal="right"/>
    </xf>
    <xf numFmtId="0" fontId="34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/>
    </xf>
    <xf numFmtId="164" fontId="21" fillId="0" borderId="2" xfId="0" applyNumberFormat="1" applyFont="1" applyBorder="1" applyAlignment="1">
      <alignment horizontal="right"/>
    </xf>
    <xf numFmtId="0" fontId="28" fillId="0" borderId="2" xfId="0" applyFont="1" applyBorder="1" applyAlignment="1">
      <alignment horizontal="left" vertical="center"/>
    </xf>
    <xf numFmtId="164" fontId="28" fillId="0" borderId="2" xfId="0" applyNumberFormat="1" applyFont="1" applyBorder="1" applyAlignment="1">
      <alignment horizontal="right"/>
    </xf>
    <xf numFmtId="0" fontId="37" fillId="0" borderId="2" xfId="0" applyFont="1" applyBorder="1" applyAlignment="1">
      <alignment horizontal="left" vertical="center"/>
    </xf>
    <xf numFmtId="164" fontId="38" fillId="13" borderId="2" xfId="0" applyNumberFormat="1" applyFont="1" applyFill="1" applyBorder="1" applyAlignment="1">
      <alignment horizontal="right"/>
    </xf>
    <xf numFmtId="0" fontId="21" fillId="0" borderId="0" xfId="0" applyFont="1" applyAlignment="1">
      <alignment horizontal="left" vertical="center"/>
    </xf>
    <xf numFmtId="164" fontId="38" fillId="0" borderId="0" xfId="0" applyNumberFormat="1" applyFont="1" applyAlignment="1">
      <alignment horizontal="right" vertical="center"/>
    </xf>
    <xf numFmtId="0" fontId="34" fillId="0" borderId="0" xfId="0" applyFont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164" fontId="39" fillId="0" borderId="2" xfId="0" applyNumberFormat="1" applyFont="1" applyBorder="1" applyAlignment="1">
      <alignment horizontal="right"/>
    </xf>
    <xf numFmtId="0" fontId="34" fillId="0" borderId="2" xfId="0" applyFont="1" applyBorder="1"/>
    <xf numFmtId="0" fontId="21" fillId="0" borderId="2" xfId="0" applyFont="1" applyBorder="1"/>
    <xf numFmtId="0" fontId="22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left" vertical="center"/>
    </xf>
    <xf numFmtId="164" fontId="31" fillId="0" borderId="2" xfId="0" applyNumberFormat="1" applyFont="1" applyBorder="1" applyAlignment="1">
      <alignment horizontal="right"/>
    </xf>
    <xf numFmtId="0" fontId="40" fillId="0" borderId="2" xfId="0" applyFont="1" applyBorder="1" applyAlignment="1">
      <alignment horizontal="left" vertical="center"/>
    </xf>
    <xf numFmtId="164" fontId="40" fillId="4" borderId="2" xfId="0" applyNumberFormat="1" applyFont="1" applyFill="1" applyBorder="1" applyAlignment="1">
      <alignment horizontal="right"/>
    </xf>
    <xf numFmtId="0" fontId="3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164" fontId="42" fillId="16" borderId="1" xfId="0" applyNumberFormat="1" applyFont="1" applyFill="1" applyBorder="1" applyAlignment="1">
      <alignment horizontal="right" vertical="center"/>
    </xf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4" borderId="1" xfId="0" applyFill="1" applyBorder="1"/>
    <xf numFmtId="164" fontId="1" fillId="3" borderId="1" xfId="0" applyNumberFormat="1" applyFont="1" applyFill="1" applyBorder="1" applyAlignment="1">
      <alignment horizontal="right" vertical="center"/>
    </xf>
    <xf numFmtId="0" fontId="41" fillId="16" borderId="1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EBEB"/>
      <rgbColor rgb="FFFF00FF"/>
      <rgbColor rgb="FF00FFFF"/>
      <rgbColor rgb="FF800000"/>
      <rgbColor rgb="FF008000"/>
      <rgbColor rgb="FF000080"/>
      <rgbColor rgb="FF854F0B"/>
      <rgbColor rgb="FF800080"/>
      <rgbColor rgb="FF0D7377"/>
      <rgbColor rgb="FFD9D9D9"/>
      <rgbColor rgb="FF888888"/>
      <rgbColor rgb="FFE8F1FB"/>
      <rgbColor rgb="FFA32D2D"/>
      <rgbColor rgb="FFFEF3CD"/>
      <rgbColor rgb="FFD6F0F0"/>
      <rgbColor rgb="FF4A1A6E"/>
      <rgbColor rgb="FFFF8080"/>
      <rgbColor rgb="FF185FA5"/>
      <rgbColor rgb="FFD0D6DE"/>
      <rgbColor rgb="FF000080"/>
      <rgbColor rgb="FFFF00FF"/>
      <rgbColor rgb="FFF4F6F8"/>
      <rgbColor rgb="FF00FFFF"/>
      <rgbColor rgb="FF800080"/>
      <rgbColor rgb="FF800000"/>
      <rgbColor rgb="FF0F6E56"/>
      <rgbColor rgb="FF0000FF"/>
      <rgbColor rgb="FF00CCFF"/>
      <rgbColor rgb="FFE1F5EE"/>
      <rgbColor rgb="FFE6F1FB"/>
      <rgbColor rgb="FFFDF6E3"/>
      <rgbColor rgb="FFE8EDF2"/>
      <rgbColor rgb="FFF3E8FB"/>
      <rgbColor rgb="FFF0E8FF"/>
      <rgbColor rgb="FFFCE9E0"/>
      <rgbColor rgb="FF3366FF"/>
      <rgbColor rgb="FF33CCCC"/>
      <rgbColor rgb="FF99CC00"/>
      <rgbColor rgb="FFFFCC00"/>
      <rgbColor rgb="FFC9A84C"/>
      <rgbColor rgb="FFD85A30"/>
      <rgbColor rgb="FF666666"/>
      <rgbColor rgb="FF999999"/>
      <rgbColor rgb="FF0D5C6B"/>
      <rgbColor rgb="FF339966"/>
      <rgbColor rgb="FF003300"/>
      <rgbColor rgb="FF333300"/>
      <rgbColor rgb="FF9A3412"/>
      <rgbColor rgb="FF993366"/>
      <rgbColor rgb="FF333399"/>
      <rgbColor rgb="FF1A2E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7377"/>
  </sheetPr>
  <dimension ref="B1:D39"/>
  <sheetViews>
    <sheetView showGridLines="0" zoomScale="193" zoomScaleNormal="193" workbookViewId="0">
      <selection activeCell="B17" sqref="B17:D17"/>
    </sheetView>
  </sheetViews>
  <sheetFormatPr defaultColWidth="8.6640625" defaultRowHeight="14.4" x14ac:dyDescent="0.3"/>
  <cols>
    <col min="1" max="1" width="2" customWidth="1"/>
    <col min="2" max="2" width="32" customWidth="1"/>
    <col min="3" max="3" width="18" customWidth="1"/>
    <col min="4" max="4" width="30.6640625" customWidth="1"/>
    <col min="5" max="5" width="2" customWidth="1"/>
  </cols>
  <sheetData>
    <row r="1" spans="2:4" ht="21.75" customHeight="1" x14ac:dyDescent="0.3">
      <c r="B1" s="14" t="s">
        <v>0</v>
      </c>
      <c r="C1" s="14"/>
      <c r="D1" s="14"/>
    </row>
    <row r="2" spans="2:4" ht="13.5" customHeight="1" x14ac:dyDescent="0.3"/>
    <row r="3" spans="2:4" ht="21.75" customHeight="1" x14ac:dyDescent="0.3">
      <c r="B3" s="13" t="s">
        <v>1</v>
      </c>
      <c r="C3" s="13"/>
      <c r="D3" s="13"/>
    </row>
    <row r="4" spans="2:4" ht="18" customHeight="1" x14ac:dyDescent="0.3">
      <c r="B4" s="15" t="s">
        <v>2</v>
      </c>
      <c r="C4" s="15" t="s">
        <v>3</v>
      </c>
      <c r="D4" s="15" t="s">
        <v>4</v>
      </c>
    </row>
    <row r="5" spans="2:4" ht="18" customHeight="1" x14ac:dyDescent="0.3">
      <c r="B5" s="16" t="s">
        <v>5</v>
      </c>
      <c r="C5" s="17">
        <v>250000</v>
      </c>
      <c r="D5" s="18">
        <f>IF($C$10=0,0,C5/$C$10)</f>
        <v>0.5</v>
      </c>
    </row>
    <row r="6" spans="2:4" ht="18" customHeight="1" x14ac:dyDescent="0.3">
      <c r="B6" s="16" t="s">
        <v>6</v>
      </c>
      <c r="C6" s="17">
        <v>50000</v>
      </c>
      <c r="D6" s="18">
        <f>IF($C$10=0,0,C6/$C$10)</f>
        <v>0.1</v>
      </c>
    </row>
    <row r="7" spans="2:4" ht="18" customHeight="1" x14ac:dyDescent="0.3">
      <c r="B7" s="16" t="s">
        <v>7</v>
      </c>
      <c r="C7" s="17">
        <v>75000</v>
      </c>
      <c r="D7" s="18">
        <f>IF($C$10=0,0,C7/$C$10)</f>
        <v>0.15</v>
      </c>
    </row>
    <row r="8" spans="2:4" ht="18" customHeight="1" x14ac:dyDescent="0.3">
      <c r="B8" s="19" t="s">
        <v>8</v>
      </c>
      <c r="C8" s="20">
        <v>100000</v>
      </c>
      <c r="D8" s="21">
        <f>IF($C$10=0,0,C8/$C$10)</f>
        <v>0.2</v>
      </c>
    </row>
    <row r="9" spans="2:4" ht="18" customHeight="1" x14ac:dyDescent="0.3">
      <c r="B9" s="22" t="s">
        <v>9</v>
      </c>
      <c r="C9" s="23">
        <v>25000</v>
      </c>
      <c r="D9" s="24">
        <f>IF($C$10=0,0,C9/$C$10)</f>
        <v>0.05</v>
      </c>
    </row>
    <row r="10" spans="2:4" ht="21.75" customHeight="1" x14ac:dyDescent="0.3">
      <c r="B10" s="25" t="s">
        <v>10</v>
      </c>
      <c r="C10" s="26">
        <f>SUM(C5:C9)</f>
        <v>500000</v>
      </c>
      <c r="D10" s="27">
        <f>IF(C10=0,0,SUM(D5:D9))</f>
        <v>1</v>
      </c>
    </row>
    <row r="11" spans="2:4" ht="18" customHeight="1" x14ac:dyDescent="0.3">
      <c r="B11" s="28"/>
      <c r="C11" s="28"/>
      <c r="D11" s="28"/>
    </row>
    <row r="12" spans="2:4" ht="18" customHeight="1" x14ac:dyDescent="0.3">
      <c r="B12" s="13" t="s">
        <v>11</v>
      </c>
      <c r="C12" s="13"/>
      <c r="D12" s="13"/>
    </row>
    <row r="13" spans="2:4" ht="18" customHeight="1" x14ac:dyDescent="0.3">
      <c r="B13" s="15" t="s">
        <v>12</v>
      </c>
      <c r="C13" s="29" t="s">
        <v>13</v>
      </c>
      <c r="D13" s="15" t="s">
        <v>14</v>
      </c>
    </row>
    <row r="14" spans="2:4" ht="18" customHeight="1" x14ac:dyDescent="0.3">
      <c r="B14" s="16" t="s">
        <v>15</v>
      </c>
      <c r="C14" s="17">
        <v>500000</v>
      </c>
      <c r="D14" s="30" t="s">
        <v>16</v>
      </c>
    </row>
    <row r="15" spans="2:4" ht="18" customHeight="1" x14ac:dyDescent="0.3">
      <c r="B15" s="16" t="s">
        <v>17</v>
      </c>
      <c r="C15" s="31">
        <v>46234</v>
      </c>
      <c r="D15" s="30" t="s">
        <v>18</v>
      </c>
    </row>
    <row r="16" spans="2:4" ht="18" customHeight="1" x14ac:dyDescent="0.3">
      <c r="B16" s="32"/>
      <c r="C16" s="33"/>
      <c r="D16" s="34"/>
    </row>
    <row r="17" spans="2:4" ht="18" customHeight="1" x14ac:dyDescent="0.3">
      <c r="B17" s="12" t="s">
        <v>19</v>
      </c>
      <c r="C17" s="12"/>
      <c r="D17" s="12"/>
    </row>
    <row r="18" spans="2:4" ht="21.75" customHeight="1" x14ac:dyDescent="0.3">
      <c r="B18" s="35" t="s">
        <v>20</v>
      </c>
      <c r="C18" s="36" t="s">
        <v>21</v>
      </c>
      <c r="D18" s="37"/>
    </row>
    <row r="19" spans="2:4" ht="18" customHeight="1" x14ac:dyDescent="0.3">
      <c r="B19" s="38" t="s">
        <v>22</v>
      </c>
      <c r="C19" s="39" t="s">
        <v>23</v>
      </c>
      <c r="D19" s="15"/>
    </row>
    <row r="20" spans="2:4" ht="18" customHeight="1" x14ac:dyDescent="0.3">
      <c r="B20" s="32"/>
      <c r="C20" s="40"/>
      <c r="D20" s="34"/>
    </row>
    <row r="21" spans="2:4" ht="18" customHeight="1" x14ac:dyDescent="0.3">
      <c r="B21" s="13" t="s">
        <v>24</v>
      </c>
      <c r="C21" s="13"/>
      <c r="D21" s="13"/>
    </row>
    <row r="22" spans="2:4" ht="18" customHeight="1" x14ac:dyDescent="0.3">
      <c r="B22" s="11" t="s">
        <v>25</v>
      </c>
      <c r="C22" s="11"/>
      <c r="D22" s="11"/>
    </row>
    <row r="23" spans="2:4" ht="21.75" customHeight="1" x14ac:dyDescent="0.3">
      <c r="B23" s="10" t="s">
        <v>26</v>
      </c>
      <c r="C23" s="10"/>
      <c r="D23" s="10"/>
    </row>
    <row r="24" spans="2:4" ht="18" customHeight="1" x14ac:dyDescent="0.3">
      <c r="B24" s="9" t="s">
        <v>27</v>
      </c>
      <c r="C24" s="9"/>
      <c r="D24" s="9"/>
    </row>
    <row r="25" spans="2:4" ht="18" customHeight="1" x14ac:dyDescent="0.3">
      <c r="B25" s="42"/>
    </row>
    <row r="26" spans="2:4" ht="18" customHeight="1" x14ac:dyDescent="0.3">
      <c r="B26" s="41"/>
    </row>
    <row r="27" spans="2:4" ht="18" customHeight="1" x14ac:dyDescent="0.3"/>
    <row r="28" spans="2:4" ht="18" customHeight="1" x14ac:dyDescent="0.3"/>
    <row r="29" spans="2:4" ht="18" customHeight="1" x14ac:dyDescent="0.3"/>
    <row r="30" spans="2:4" ht="18" customHeight="1" x14ac:dyDescent="0.3"/>
    <row r="31" spans="2:4" ht="18" customHeight="1" x14ac:dyDescent="0.3"/>
    <row r="32" spans="2:4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</sheetData>
  <mergeCells count="8">
    <mergeCell ref="B22:D22"/>
    <mergeCell ref="B23:D23"/>
    <mergeCell ref="B24:D24"/>
    <mergeCell ref="B1:D1"/>
    <mergeCell ref="B3:D3"/>
    <mergeCell ref="B12:D12"/>
    <mergeCell ref="B17:D17"/>
    <mergeCell ref="B21:D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84C"/>
  </sheetPr>
  <dimension ref="A1:L58"/>
  <sheetViews>
    <sheetView showGridLines="0" zoomScaleNormal="100" workbookViewId="0">
      <pane ySplit="2" topLeftCell="A3" activePane="bottomLeft" state="frozen"/>
      <selection pane="bottomLeft" activeCell="B3" sqref="B3"/>
    </sheetView>
  </sheetViews>
  <sheetFormatPr defaultColWidth="8.6640625" defaultRowHeight="14.4" x14ac:dyDescent="0.3"/>
  <cols>
    <col min="1" max="1" width="3" customWidth="1"/>
    <col min="2" max="2" width="22" customWidth="1"/>
    <col min="3" max="3" width="20.21875" customWidth="1"/>
    <col min="4" max="4" width="16" customWidth="1"/>
    <col min="5" max="5" width="20" customWidth="1"/>
    <col min="6" max="6" width="16" customWidth="1"/>
    <col min="7" max="7" width="14" customWidth="1"/>
    <col min="8" max="8" width="16" customWidth="1"/>
    <col min="9" max="10" width="15" customWidth="1"/>
    <col min="11" max="11" width="34.109375" customWidth="1"/>
    <col min="12" max="12" width="35.33203125" customWidth="1"/>
  </cols>
  <sheetData>
    <row r="1" spans="1:12" ht="21.75" customHeight="1" x14ac:dyDescent="0.3">
      <c r="A1" s="14" t="s">
        <v>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43" t="s">
        <v>29</v>
      </c>
      <c r="B2" s="43" t="s">
        <v>30</v>
      </c>
      <c r="C2" s="43" t="s">
        <v>31</v>
      </c>
      <c r="D2" s="43" t="s">
        <v>32</v>
      </c>
      <c r="E2" s="43" t="s">
        <v>33</v>
      </c>
      <c r="F2" s="44" t="s">
        <v>34</v>
      </c>
      <c r="G2" s="43" t="s">
        <v>35</v>
      </c>
      <c r="H2" s="43" t="s">
        <v>36</v>
      </c>
      <c r="I2" s="43" t="s">
        <v>37</v>
      </c>
      <c r="J2" s="43" t="s">
        <v>38</v>
      </c>
      <c r="K2" s="43" t="s">
        <v>39</v>
      </c>
      <c r="L2" s="45" t="s">
        <v>40</v>
      </c>
    </row>
    <row r="3" spans="1:12" ht="16.5" customHeight="1" x14ac:dyDescent="0.3">
      <c r="A3" s="46">
        <f>1</f>
        <v>1</v>
      </c>
      <c r="B3" s="40" t="s">
        <v>41</v>
      </c>
      <c r="C3" s="40" t="s">
        <v>42</v>
      </c>
      <c r="D3" s="40"/>
      <c r="E3" s="40" t="s">
        <v>43</v>
      </c>
      <c r="F3" s="33">
        <v>35000</v>
      </c>
      <c r="G3" s="40" t="s">
        <v>44</v>
      </c>
      <c r="H3" s="40" t="s">
        <v>45</v>
      </c>
      <c r="I3" s="47"/>
      <c r="J3" s="47">
        <v>46215</v>
      </c>
      <c r="K3" s="48" t="s">
        <v>46</v>
      </c>
      <c r="L3" s="49" t="s">
        <v>47</v>
      </c>
    </row>
    <row r="4" spans="1:12" ht="16.5" customHeight="1" x14ac:dyDescent="0.3">
      <c r="A4" s="46">
        <f>2</f>
        <v>2</v>
      </c>
      <c r="B4" s="50" t="s">
        <v>48</v>
      </c>
      <c r="C4" s="50" t="s">
        <v>49</v>
      </c>
      <c r="D4" s="50"/>
      <c r="E4" s="50" t="s">
        <v>50</v>
      </c>
      <c r="F4" s="51">
        <v>45000</v>
      </c>
      <c r="G4" s="50" t="s">
        <v>51</v>
      </c>
      <c r="H4" s="50" t="s">
        <v>52</v>
      </c>
      <c r="I4" s="52"/>
      <c r="J4" s="52">
        <v>46213</v>
      </c>
      <c r="K4" s="53" t="s">
        <v>53</v>
      </c>
      <c r="L4" s="49" t="s">
        <v>47</v>
      </c>
    </row>
    <row r="5" spans="1:12" ht="16.5" customHeight="1" x14ac:dyDescent="0.3">
      <c r="A5" s="46">
        <f>3</f>
        <v>3</v>
      </c>
      <c r="B5" s="40" t="s">
        <v>54</v>
      </c>
      <c r="C5" s="40" t="s">
        <v>55</v>
      </c>
      <c r="D5" s="40"/>
      <c r="E5" s="40" t="s">
        <v>43</v>
      </c>
      <c r="F5" s="33">
        <v>50000</v>
      </c>
      <c r="G5" s="40" t="s">
        <v>56</v>
      </c>
      <c r="H5" s="40" t="s">
        <v>57</v>
      </c>
      <c r="I5" s="47"/>
      <c r="J5" s="47">
        <v>46214</v>
      </c>
      <c r="K5" s="48"/>
      <c r="L5" s="49" t="s">
        <v>47</v>
      </c>
    </row>
    <row r="6" spans="1:12" ht="16.5" customHeight="1" x14ac:dyDescent="0.3">
      <c r="A6" s="46">
        <f>4</f>
        <v>4</v>
      </c>
      <c r="B6" s="50" t="s">
        <v>58</v>
      </c>
      <c r="C6" s="50" t="s">
        <v>59</v>
      </c>
      <c r="D6" s="50"/>
      <c r="E6" s="50" t="s">
        <v>60</v>
      </c>
      <c r="F6" s="51">
        <v>28000</v>
      </c>
      <c r="G6" s="50" t="s">
        <v>61</v>
      </c>
      <c r="H6" s="50" t="s">
        <v>62</v>
      </c>
      <c r="I6" s="52"/>
      <c r="J6" s="52">
        <v>46216</v>
      </c>
      <c r="K6" s="53"/>
      <c r="L6" s="49" t="s">
        <v>47</v>
      </c>
    </row>
    <row r="7" spans="1:12" ht="16.5" customHeight="1" x14ac:dyDescent="0.3">
      <c r="A7" s="46">
        <f>5</f>
        <v>5</v>
      </c>
      <c r="B7" s="40" t="s">
        <v>63</v>
      </c>
      <c r="C7" s="40" t="s">
        <v>64</v>
      </c>
      <c r="D7" s="40"/>
      <c r="E7" s="40" t="s">
        <v>50</v>
      </c>
      <c r="F7" s="33">
        <v>60000</v>
      </c>
      <c r="G7" s="40" t="s">
        <v>65</v>
      </c>
      <c r="H7" s="40" t="s">
        <v>66</v>
      </c>
      <c r="I7" s="47"/>
      <c r="J7" s="47">
        <v>46217</v>
      </c>
      <c r="K7" s="48"/>
      <c r="L7" s="49" t="s">
        <v>47</v>
      </c>
    </row>
    <row r="8" spans="1:12" ht="16.5" customHeight="1" x14ac:dyDescent="0.3">
      <c r="A8" s="46">
        <f>6</f>
        <v>6</v>
      </c>
      <c r="B8" s="50" t="s">
        <v>67</v>
      </c>
      <c r="C8" s="50" t="s">
        <v>68</v>
      </c>
      <c r="D8" s="50"/>
      <c r="E8" s="50" t="s">
        <v>43</v>
      </c>
      <c r="F8" s="51">
        <v>32000</v>
      </c>
      <c r="G8" s="50" t="s">
        <v>44</v>
      </c>
      <c r="H8" s="50" t="s">
        <v>66</v>
      </c>
      <c r="I8" s="52"/>
      <c r="J8" s="52"/>
      <c r="K8" s="53"/>
      <c r="L8" s="49" t="s">
        <v>47</v>
      </c>
    </row>
    <row r="9" spans="1:12" ht="16.5" customHeight="1" x14ac:dyDescent="0.3">
      <c r="A9" s="46">
        <f>7</f>
        <v>7</v>
      </c>
      <c r="B9" s="40"/>
      <c r="C9" s="40"/>
      <c r="D9" s="40"/>
      <c r="E9" s="40"/>
      <c r="F9" s="33"/>
      <c r="G9" s="40"/>
      <c r="H9" s="40"/>
      <c r="I9" s="47"/>
      <c r="J9" s="47"/>
      <c r="K9" s="48"/>
      <c r="L9" s="49" t="s">
        <v>47</v>
      </c>
    </row>
    <row r="10" spans="1:12" ht="16.5" customHeight="1" x14ac:dyDescent="0.3">
      <c r="A10" s="46">
        <f>8</f>
        <v>8</v>
      </c>
      <c r="B10" s="50"/>
      <c r="C10" s="50"/>
      <c r="D10" s="50"/>
      <c r="E10" s="50"/>
      <c r="F10" s="51"/>
      <c r="G10" s="50"/>
      <c r="H10" s="50"/>
      <c r="I10" s="52"/>
      <c r="J10" s="52"/>
      <c r="K10" s="53"/>
      <c r="L10" s="49" t="s">
        <v>47</v>
      </c>
    </row>
    <row r="11" spans="1:12" ht="16.5" customHeight="1" x14ac:dyDescent="0.3">
      <c r="A11" s="46">
        <f>9</f>
        <v>9</v>
      </c>
      <c r="B11" s="40"/>
      <c r="C11" s="40"/>
      <c r="D11" s="40"/>
      <c r="E11" s="40"/>
      <c r="F11" s="33"/>
      <c r="G11" s="40"/>
      <c r="H11" s="40"/>
      <c r="I11" s="47"/>
      <c r="J11" s="47"/>
      <c r="K11" s="48"/>
      <c r="L11" s="49" t="s">
        <v>47</v>
      </c>
    </row>
    <row r="12" spans="1:12" ht="16.5" customHeight="1" x14ac:dyDescent="0.3">
      <c r="A12" s="46">
        <f>10</f>
        <v>10</v>
      </c>
      <c r="B12" s="50"/>
      <c r="C12" s="50"/>
      <c r="D12" s="50"/>
      <c r="E12" s="50"/>
      <c r="F12" s="51"/>
      <c r="G12" s="50"/>
      <c r="H12" s="50"/>
      <c r="I12" s="52"/>
      <c r="J12" s="52"/>
      <c r="K12" s="53"/>
      <c r="L12" s="49" t="s">
        <v>47</v>
      </c>
    </row>
    <row r="13" spans="1:12" ht="16.5" customHeight="1" x14ac:dyDescent="0.3">
      <c r="A13" s="46">
        <f>11</f>
        <v>11</v>
      </c>
      <c r="B13" s="40"/>
      <c r="C13" s="40"/>
      <c r="D13" s="40"/>
      <c r="E13" s="40"/>
      <c r="F13" s="33"/>
      <c r="G13" s="40"/>
      <c r="H13" s="40"/>
      <c r="I13" s="47"/>
      <c r="J13" s="47"/>
      <c r="K13" s="48"/>
      <c r="L13" s="49" t="s">
        <v>47</v>
      </c>
    </row>
    <row r="14" spans="1:12" ht="16.5" customHeight="1" x14ac:dyDescent="0.3">
      <c r="A14" s="46">
        <f>12</f>
        <v>12</v>
      </c>
      <c r="B14" s="50"/>
      <c r="C14" s="50"/>
      <c r="D14" s="50"/>
      <c r="E14" s="50"/>
      <c r="F14" s="51"/>
      <c r="G14" s="50"/>
      <c r="H14" s="50"/>
      <c r="I14" s="52"/>
      <c r="J14" s="52"/>
      <c r="K14" s="53"/>
      <c r="L14" s="49" t="s">
        <v>47</v>
      </c>
    </row>
    <row r="15" spans="1:12" ht="16.5" customHeight="1" x14ac:dyDescent="0.3">
      <c r="A15" s="46">
        <f>13</f>
        <v>13</v>
      </c>
      <c r="B15" s="40"/>
      <c r="C15" s="40"/>
      <c r="D15" s="40"/>
      <c r="E15" s="40"/>
      <c r="F15" s="33"/>
      <c r="G15" s="40"/>
      <c r="H15" s="40"/>
      <c r="I15" s="47"/>
      <c r="J15" s="47"/>
      <c r="K15" s="48"/>
      <c r="L15" s="49" t="s">
        <v>47</v>
      </c>
    </row>
    <row r="16" spans="1:12" ht="16.5" customHeight="1" x14ac:dyDescent="0.3">
      <c r="A16" s="46">
        <f>14</f>
        <v>14</v>
      </c>
      <c r="B16" s="50"/>
      <c r="C16" s="50"/>
      <c r="D16" s="50"/>
      <c r="E16" s="50"/>
      <c r="F16" s="51"/>
      <c r="G16" s="50"/>
      <c r="H16" s="50"/>
      <c r="I16" s="52"/>
      <c r="J16" s="52"/>
      <c r="K16" s="53"/>
      <c r="L16" s="49" t="s">
        <v>47</v>
      </c>
    </row>
    <row r="17" spans="1:12" ht="16.5" customHeight="1" x14ac:dyDescent="0.3">
      <c r="A17" s="46">
        <f>15</f>
        <v>15</v>
      </c>
      <c r="B17" s="40"/>
      <c r="C17" s="40"/>
      <c r="D17" s="40"/>
      <c r="E17" s="40"/>
      <c r="F17" s="33"/>
      <c r="G17" s="40"/>
      <c r="H17" s="40"/>
      <c r="I17" s="47"/>
      <c r="J17" s="47"/>
      <c r="K17" s="48"/>
      <c r="L17" s="49" t="s">
        <v>47</v>
      </c>
    </row>
    <row r="18" spans="1:12" ht="16.5" customHeight="1" x14ac:dyDescent="0.3">
      <c r="A18" s="46">
        <f>16</f>
        <v>16</v>
      </c>
      <c r="B18" s="50"/>
      <c r="D18" s="50"/>
      <c r="E18" s="50"/>
      <c r="F18" s="51"/>
      <c r="G18" s="50"/>
      <c r="H18" s="50"/>
      <c r="I18" s="52"/>
      <c r="K18" s="53"/>
      <c r="L18" s="49" t="s">
        <v>47</v>
      </c>
    </row>
    <row r="19" spans="1:12" ht="16.5" customHeight="1" x14ac:dyDescent="0.3">
      <c r="A19" s="46">
        <f>17</f>
        <v>17</v>
      </c>
      <c r="B19" s="40"/>
      <c r="D19" s="40"/>
      <c r="E19" s="40"/>
      <c r="F19" s="33"/>
      <c r="G19" s="40"/>
      <c r="H19" s="40"/>
      <c r="I19" s="47"/>
      <c r="J19" s="47"/>
      <c r="K19" s="48"/>
      <c r="L19" s="49" t="s">
        <v>47</v>
      </c>
    </row>
    <row r="20" spans="1:12" ht="16.5" customHeight="1" x14ac:dyDescent="0.3">
      <c r="A20" s="46">
        <f>18</f>
        <v>18</v>
      </c>
      <c r="B20" s="50"/>
      <c r="C20" s="50"/>
      <c r="D20" s="50"/>
      <c r="E20" s="50"/>
      <c r="F20" s="51"/>
      <c r="G20" s="50"/>
      <c r="H20" s="50"/>
      <c r="I20" s="52"/>
      <c r="J20" s="52"/>
      <c r="K20" s="53"/>
      <c r="L20" s="49" t="s">
        <v>47</v>
      </c>
    </row>
    <row r="21" spans="1:12" ht="16.5" customHeight="1" x14ac:dyDescent="0.3">
      <c r="A21" s="46">
        <f>19</f>
        <v>19</v>
      </c>
      <c r="B21" s="40"/>
      <c r="C21" s="40"/>
      <c r="D21" s="40"/>
      <c r="E21" s="40"/>
      <c r="F21" s="33"/>
      <c r="G21" s="40"/>
      <c r="H21" s="40"/>
      <c r="I21" s="47"/>
      <c r="J21" s="47"/>
      <c r="K21" s="48"/>
      <c r="L21" s="49" t="s">
        <v>47</v>
      </c>
    </row>
    <row r="22" spans="1:12" ht="16.5" customHeight="1" x14ac:dyDescent="0.3">
      <c r="A22" s="46">
        <f>20</f>
        <v>20</v>
      </c>
      <c r="B22" s="50"/>
      <c r="C22" s="50"/>
      <c r="D22" s="50"/>
      <c r="E22" s="50"/>
      <c r="F22" s="51"/>
      <c r="G22" s="50"/>
      <c r="H22" s="50"/>
      <c r="I22" s="52"/>
      <c r="J22" s="52"/>
      <c r="K22" s="53"/>
      <c r="L22" s="49" t="s">
        <v>47</v>
      </c>
    </row>
    <row r="23" spans="1:12" ht="16.5" customHeight="1" x14ac:dyDescent="0.3">
      <c r="A23" s="46">
        <f>21</f>
        <v>21</v>
      </c>
      <c r="B23" s="40"/>
      <c r="C23" s="40"/>
      <c r="D23" s="40"/>
      <c r="E23" s="40"/>
      <c r="F23" s="33"/>
      <c r="G23" s="40"/>
      <c r="H23" s="40"/>
      <c r="I23" s="47"/>
      <c r="J23" s="47"/>
      <c r="K23" s="48"/>
      <c r="L23" s="49" t="s">
        <v>47</v>
      </c>
    </row>
    <row r="24" spans="1:12" ht="16.5" customHeight="1" x14ac:dyDescent="0.3">
      <c r="A24" s="46">
        <f>22</f>
        <v>22</v>
      </c>
      <c r="B24" s="50"/>
      <c r="C24" s="50"/>
      <c r="D24" s="50"/>
      <c r="E24" s="50"/>
      <c r="F24" s="51"/>
      <c r="G24" s="50"/>
      <c r="H24" s="50"/>
      <c r="I24" s="52"/>
      <c r="J24" s="52"/>
      <c r="K24" s="53"/>
      <c r="L24" s="49" t="s">
        <v>47</v>
      </c>
    </row>
    <row r="25" spans="1:12" ht="16.5" customHeight="1" x14ac:dyDescent="0.3">
      <c r="A25" s="46">
        <f>23</f>
        <v>23</v>
      </c>
      <c r="B25" s="40"/>
      <c r="C25" s="40"/>
      <c r="D25" s="40"/>
      <c r="E25" s="40"/>
      <c r="F25" s="33"/>
      <c r="G25" s="40"/>
      <c r="H25" s="40"/>
      <c r="I25" s="47"/>
      <c r="J25" s="47"/>
      <c r="K25" s="48"/>
      <c r="L25" s="49" t="s">
        <v>47</v>
      </c>
    </row>
    <row r="26" spans="1:12" ht="16.5" customHeight="1" x14ac:dyDescent="0.3">
      <c r="A26" s="46">
        <f>24</f>
        <v>24</v>
      </c>
      <c r="B26" s="50"/>
      <c r="C26" s="50"/>
      <c r="D26" s="50"/>
      <c r="E26" s="50"/>
      <c r="F26" s="51"/>
      <c r="G26" s="50"/>
      <c r="H26" s="50"/>
      <c r="I26" s="52"/>
      <c r="J26" s="52"/>
      <c r="K26" s="53"/>
      <c r="L26" s="49" t="s">
        <v>47</v>
      </c>
    </row>
    <row r="27" spans="1:12" ht="16.5" customHeight="1" x14ac:dyDescent="0.3">
      <c r="A27" s="46">
        <f>25</f>
        <v>25</v>
      </c>
      <c r="B27" s="40"/>
      <c r="C27" s="40"/>
      <c r="D27" s="40"/>
      <c r="E27" s="40"/>
      <c r="F27" s="33"/>
      <c r="G27" s="40"/>
      <c r="H27" s="40"/>
      <c r="I27" s="47"/>
      <c r="J27" s="47"/>
      <c r="K27" s="48"/>
      <c r="L27" s="49" t="s">
        <v>47</v>
      </c>
    </row>
    <row r="28" spans="1:12" ht="16.5" customHeight="1" x14ac:dyDescent="0.3">
      <c r="A28" s="46">
        <f>26</f>
        <v>26</v>
      </c>
      <c r="B28" s="50"/>
      <c r="C28" s="50"/>
      <c r="D28" s="50"/>
      <c r="E28" s="50"/>
      <c r="F28" s="51"/>
      <c r="G28" s="50"/>
      <c r="H28" s="50"/>
      <c r="I28" s="52"/>
      <c r="J28" s="52"/>
      <c r="K28" s="53"/>
      <c r="L28" s="49" t="s">
        <v>47</v>
      </c>
    </row>
    <row r="29" spans="1:12" ht="16.5" customHeight="1" x14ac:dyDescent="0.3">
      <c r="A29" s="46">
        <f>27</f>
        <v>27</v>
      </c>
      <c r="B29" s="40"/>
      <c r="C29" s="40"/>
      <c r="D29" s="40"/>
      <c r="E29" s="40"/>
      <c r="F29" s="33"/>
      <c r="G29" s="40"/>
      <c r="H29" s="40"/>
      <c r="I29" s="47"/>
      <c r="J29" s="47"/>
      <c r="K29" s="48"/>
      <c r="L29" s="49" t="s">
        <v>47</v>
      </c>
    </row>
    <row r="30" spans="1:12" ht="16.5" customHeight="1" x14ac:dyDescent="0.3">
      <c r="A30" s="46">
        <f>28</f>
        <v>28</v>
      </c>
      <c r="B30" s="50"/>
      <c r="C30" s="50"/>
      <c r="D30" s="50"/>
      <c r="E30" s="50"/>
      <c r="F30" s="51"/>
      <c r="G30" s="50"/>
      <c r="H30" s="50"/>
      <c r="I30" s="52"/>
      <c r="J30" s="52"/>
      <c r="K30" s="53"/>
      <c r="L30" s="49" t="s">
        <v>47</v>
      </c>
    </row>
    <row r="31" spans="1:12" ht="16.5" customHeight="1" x14ac:dyDescent="0.3">
      <c r="A31" s="46">
        <f>29</f>
        <v>29</v>
      </c>
      <c r="B31" s="40"/>
      <c r="C31" s="40"/>
      <c r="D31" s="40"/>
      <c r="E31" s="40"/>
      <c r="F31" s="33"/>
      <c r="G31" s="40"/>
      <c r="H31" s="40"/>
      <c r="I31" s="47"/>
      <c r="J31" s="47"/>
      <c r="K31" s="48"/>
      <c r="L31" s="49" t="s">
        <v>47</v>
      </c>
    </row>
    <row r="32" spans="1:12" ht="16.5" customHeight="1" x14ac:dyDescent="0.3">
      <c r="A32" s="46">
        <f>30</f>
        <v>30</v>
      </c>
      <c r="B32" s="50"/>
      <c r="C32" s="50"/>
      <c r="D32" s="50"/>
      <c r="E32" s="50"/>
      <c r="F32" s="51"/>
      <c r="G32" s="50"/>
      <c r="H32" s="50"/>
      <c r="I32" s="52"/>
      <c r="J32" s="52"/>
      <c r="K32" s="53"/>
      <c r="L32" s="49" t="s">
        <v>47</v>
      </c>
    </row>
    <row r="33" spans="1:12" ht="16.5" customHeight="1" x14ac:dyDescent="0.3">
      <c r="A33" s="46">
        <f>31</f>
        <v>31</v>
      </c>
      <c r="B33" s="40"/>
      <c r="C33" s="40"/>
      <c r="D33" s="40"/>
      <c r="E33" s="40"/>
      <c r="F33" s="33"/>
      <c r="G33" s="40"/>
      <c r="H33" s="40"/>
      <c r="I33" s="47"/>
      <c r="J33" s="47"/>
      <c r="K33" s="48"/>
      <c r="L33" s="49" t="s">
        <v>47</v>
      </c>
    </row>
    <row r="34" spans="1:12" ht="16.5" customHeight="1" x14ac:dyDescent="0.3">
      <c r="A34" s="46">
        <f>32</f>
        <v>32</v>
      </c>
      <c r="B34" s="50"/>
      <c r="C34" s="50"/>
      <c r="D34" s="50"/>
      <c r="E34" s="50"/>
      <c r="F34" s="51"/>
      <c r="G34" s="50"/>
      <c r="H34" s="50"/>
      <c r="I34" s="52"/>
      <c r="J34" s="52"/>
      <c r="K34" s="53"/>
      <c r="L34" s="49" t="s">
        <v>47</v>
      </c>
    </row>
    <row r="35" spans="1:12" ht="16.5" customHeight="1" x14ac:dyDescent="0.3">
      <c r="A35" s="46">
        <f>33</f>
        <v>33</v>
      </c>
      <c r="B35" s="40"/>
      <c r="C35" s="40"/>
      <c r="D35" s="40"/>
      <c r="E35" s="40"/>
      <c r="F35" s="33"/>
      <c r="G35" s="40"/>
      <c r="H35" s="40"/>
      <c r="I35" s="47"/>
      <c r="J35" s="47"/>
      <c r="K35" s="48"/>
      <c r="L35" s="49" t="s">
        <v>47</v>
      </c>
    </row>
    <row r="36" spans="1:12" ht="16.5" customHeight="1" x14ac:dyDescent="0.3">
      <c r="A36" s="46">
        <f>34</f>
        <v>34</v>
      </c>
      <c r="B36" s="50"/>
      <c r="C36" s="50"/>
      <c r="D36" s="50"/>
      <c r="E36" s="50"/>
      <c r="F36" s="51"/>
      <c r="G36" s="50"/>
      <c r="H36" s="50"/>
      <c r="I36" s="52"/>
      <c r="J36" s="52"/>
      <c r="K36" s="53"/>
      <c r="L36" s="49" t="s">
        <v>47</v>
      </c>
    </row>
    <row r="37" spans="1:12" ht="16.5" customHeight="1" x14ac:dyDescent="0.3">
      <c r="A37" s="46">
        <f>35</f>
        <v>35</v>
      </c>
      <c r="B37" s="40"/>
      <c r="C37" s="40"/>
      <c r="D37" s="40"/>
      <c r="E37" s="40"/>
      <c r="F37" s="33"/>
      <c r="G37" s="40"/>
      <c r="H37" s="40"/>
      <c r="I37" s="47"/>
      <c r="J37" s="47"/>
      <c r="K37" s="48"/>
      <c r="L37" s="49" t="s">
        <v>47</v>
      </c>
    </row>
    <row r="38" spans="1:12" ht="16.5" customHeight="1" x14ac:dyDescent="0.3">
      <c r="A38" s="46">
        <f>36</f>
        <v>36</v>
      </c>
      <c r="B38" s="50"/>
      <c r="C38" s="50"/>
      <c r="D38" s="50"/>
      <c r="E38" s="50"/>
      <c r="F38" s="51"/>
      <c r="G38" s="50"/>
      <c r="H38" s="50"/>
      <c r="I38" s="52"/>
      <c r="J38" s="52"/>
      <c r="K38" s="53"/>
      <c r="L38" s="49" t="s">
        <v>47</v>
      </c>
    </row>
    <row r="39" spans="1:12" ht="16.5" customHeight="1" x14ac:dyDescent="0.3">
      <c r="A39" s="46">
        <f>37</f>
        <v>37</v>
      </c>
      <c r="B39" s="40"/>
      <c r="C39" s="40"/>
      <c r="D39" s="40"/>
      <c r="E39" s="40"/>
      <c r="F39" s="33"/>
      <c r="G39" s="40"/>
      <c r="H39" s="40"/>
      <c r="I39" s="47"/>
      <c r="J39" s="47"/>
      <c r="K39" s="48"/>
      <c r="L39" s="49" t="s">
        <v>47</v>
      </c>
    </row>
    <row r="40" spans="1:12" ht="16.5" customHeight="1" x14ac:dyDescent="0.3">
      <c r="A40" s="46">
        <f>38</f>
        <v>38</v>
      </c>
      <c r="B40" s="50"/>
      <c r="C40" s="50"/>
      <c r="D40" s="50"/>
      <c r="E40" s="50"/>
      <c r="F40" s="51"/>
      <c r="G40" s="50"/>
      <c r="H40" s="50"/>
      <c r="I40" s="52"/>
      <c r="J40" s="52"/>
      <c r="K40" s="53"/>
      <c r="L40" s="49" t="s">
        <v>47</v>
      </c>
    </row>
    <row r="41" spans="1:12" ht="16.5" customHeight="1" x14ac:dyDescent="0.3">
      <c r="A41" s="46">
        <f>39</f>
        <v>39</v>
      </c>
      <c r="B41" s="40"/>
      <c r="C41" s="40"/>
      <c r="D41" s="40"/>
      <c r="E41" s="40"/>
      <c r="F41" s="33"/>
      <c r="G41" s="40"/>
      <c r="H41" s="40"/>
      <c r="I41" s="47"/>
      <c r="J41" s="47"/>
      <c r="K41" s="48"/>
      <c r="L41" s="49" t="s">
        <v>47</v>
      </c>
    </row>
    <row r="42" spans="1:12" ht="16.5" customHeight="1" x14ac:dyDescent="0.3">
      <c r="A42" s="46">
        <f>40</f>
        <v>40</v>
      </c>
      <c r="B42" s="50"/>
      <c r="C42" s="50"/>
      <c r="D42" s="50"/>
      <c r="E42" s="50"/>
      <c r="F42" s="51"/>
      <c r="G42" s="50"/>
      <c r="H42" s="50"/>
      <c r="I42" s="52"/>
      <c r="J42" s="52"/>
      <c r="K42" s="53"/>
      <c r="L42" s="49" t="s">
        <v>47</v>
      </c>
    </row>
    <row r="43" spans="1:12" ht="16.5" customHeight="1" x14ac:dyDescent="0.3">
      <c r="A43" s="46">
        <f>41</f>
        <v>41</v>
      </c>
      <c r="B43" s="40"/>
      <c r="C43" s="40"/>
      <c r="D43" s="40"/>
      <c r="E43" s="40"/>
      <c r="F43" s="33"/>
      <c r="G43" s="40"/>
      <c r="H43" s="40"/>
      <c r="I43" s="47"/>
      <c r="J43" s="47"/>
      <c r="K43" s="48"/>
      <c r="L43" s="49" t="s">
        <v>47</v>
      </c>
    </row>
    <row r="44" spans="1:12" ht="16.5" customHeight="1" x14ac:dyDescent="0.3">
      <c r="A44" s="46">
        <f>42</f>
        <v>42</v>
      </c>
      <c r="B44" s="50"/>
      <c r="C44" s="50"/>
      <c r="D44" s="50"/>
      <c r="E44" s="50"/>
      <c r="F44" s="51"/>
      <c r="G44" s="50"/>
      <c r="H44" s="50"/>
      <c r="I44" s="52"/>
      <c r="J44" s="52"/>
      <c r="K44" s="53"/>
      <c r="L44" s="49" t="s">
        <v>47</v>
      </c>
    </row>
    <row r="45" spans="1:12" ht="16.5" customHeight="1" x14ac:dyDescent="0.3">
      <c r="A45" s="46">
        <f>43</f>
        <v>43</v>
      </c>
      <c r="B45" s="40"/>
      <c r="C45" s="40"/>
      <c r="D45" s="40"/>
      <c r="E45" s="40"/>
      <c r="F45" s="33"/>
      <c r="G45" s="40"/>
      <c r="H45" s="40"/>
      <c r="I45" s="47"/>
      <c r="J45" s="47"/>
      <c r="K45" s="48"/>
      <c r="L45" s="49" t="s">
        <v>47</v>
      </c>
    </row>
    <row r="46" spans="1:12" ht="16.5" customHeight="1" x14ac:dyDescent="0.3">
      <c r="A46" s="46">
        <f>44</f>
        <v>44</v>
      </c>
      <c r="B46" s="50"/>
      <c r="C46" s="50"/>
      <c r="D46" s="50"/>
      <c r="E46" s="50"/>
      <c r="F46" s="51"/>
      <c r="G46" s="50"/>
      <c r="H46" s="50"/>
      <c r="I46" s="52"/>
      <c r="J46" s="52"/>
      <c r="K46" s="53"/>
      <c r="L46" s="49" t="s">
        <v>47</v>
      </c>
    </row>
    <row r="47" spans="1:12" ht="16.5" customHeight="1" x14ac:dyDescent="0.3">
      <c r="A47" s="46">
        <f>45</f>
        <v>45</v>
      </c>
      <c r="B47" s="40"/>
      <c r="C47" s="40"/>
      <c r="D47" s="40"/>
      <c r="E47" s="40"/>
      <c r="F47" s="33"/>
      <c r="G47" s="40"/>
      <c r="H47" s="40"/>
      <c r="I47" s="47"/>
      <c r="J47" s="47"/>
      <c r="K47" s="48"/>
      <c r="L47" s="49" t="s">
        <v>47</v>
      </c>
    </row>
    <row r="48" spans="1:12" ht="16.5" customHeight="1" x14ac:dyDescent="0.3">
      <c r="A48" s="46">
        <f>46</f>
        <v>46</v>
      </c>
      <c r="B48" s="50"/>
      <c r="C48" s="50"/>
      <c r="D48" s="50"/>
      <c r="E48" s="50"/>
      <c r="F48" s="51"/>
      <c r="G48" s="50"/>
      <c r="H48" s="50"/>
      <c r="I48" s="52"/>
      <c r="J48" s="52"/>
      <c r="K48" s="53"/>
      <c r="L48" s="49" t="s">
        <v>47</v>
      </c>
    </row>
    <row r="49" spans="1:12" ht="16.5" customHeight="1" x14ac:dyDescent="0.3">
      <c r="A49" s="46">
        <f>47</f>
        <v>47</v>
      </c>
      <c r="B49" s="40"/>
      <c r="C49" s="40"/>
      <c r="D49" s="40"/>
      <c r="E49" s="40"/>
      <c r="F49" s="33"/>
      <c r="G49" s="40"/>
      <c r="H49" s="40"/>
      <c r="I49" s="47"/>
      <c r="J49" s="47"/>
      <c r="K49" s="48"/>
      <c r="L49" s="49" t="s">
        <v>47</v>
      </c>
    </row>
    <row r="50" spans="1:12" ht="16.5" customHeight="1" x14ac:dyDescent="0.3">
      <c r="A50" s="46">
        <f>48</f>
        <v>48</v>
      </c>
      <c r="B50" s="50"/>
      <c r="C50" s="50"/>
      <c r="D50" s="50"/>
      <c r="E50" s="50"/>
      <c r="F50" s="51"/>
      <c r="G50" s="50"/>
      <c r="H50" s="50"/>
      <c r="I50" s="52"/>
      <c r="J50" s="52"/>
      <c r="K50" s="53"/>
      <c r="L50" s="49" t="s">
        <v>47</v>
      </c>
    </row>
    <row r="51" spans="1:12" ht="16.5" customHeight="1" x14ac:dyDescent="0.3">
      <c r="A51" s="46">
        <f>49</f>
        <v>49</v>
      </c>
      <c r="B51" s="40"/>
      <c r="C51" s="40"/>
      <c r="D51" s="40"/>
      <c r="E51" s="40"/>
      <c r="F51" s="33"/>
      <c r="G51" s="40"/>
      <c r="H51" s="40"/>
      <c r="I51" s="47"/>
      <c r="J51" s="47"/>
      <c r="K51" s="48"/>
      <c r="L51" s="49" t="s">
        <v>47</v>
      </c>
    </row>
    <row r="52" spans="1:12" ht="16.5" customHeight="1" x14ac:dyDescent="0.3">
      <c r="A52" s="46">
        <f>50</f>
        <v>50</v>
      </c>
      <c r="B52" s="50"/>
      <c r="C52" s="50"/>
      <c r="D52" s="50"/>
      <c r="E52" s="50"/>
      <c r="F52" s="51"/>
      <c r="G52" s="50"/>
      <c r="H52" s="50"/>
      <c r="I52" s="52"/>
      <c r="J52" s="52"/>
      <c r="K52" s="53"/>
      <c r="L52" s="49" t="s">
        <v>47</v>
      </c>
    </row>
    <row r="53" spans="1:12" ht="19.5" customHeight="1" x14ac:dyDescent="0.3">
      <c r="A53" s="8" t="s">
        <v>69</v>
      </c>
      <c r="B53" s="8"/>
      <c r="C53" s="8"/>
      <c r="D53" s="8"/>
      <c r="E53" s="8"/>
      <c r="F53" s="55">
        <f>SUMIF(B3:B52,"?*",F3:F52)</f>
        <v>250000</v>
      </c>
      <c r="G53" s="7" t="str">
        <f>COUNTA(B3:B52)&amp;" leads"</f>
        <v>6 leads</v>
      </c>
      <c r="H53" s="7"/>
      <c r="I53" s="7"/>
      <c r="J53" s="56"/>
      <c r="K53" s="56"/>
      <c r="L53" s="56"/>
    </row>
    <row r="55" spans="1:12" ht="21.75" customHeight="1" x14ac:dyDescent="0.3">
      <c r="A55" s="13" t="s">
        <v>70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spans="1:12" ht="79.5" customHeight="1" x14ac:dyDescent="0.3">
      <c r="A56" s="6" t="s">
        <v>71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8" spans="1:12" ht="27.75" customHeight="1" x14ac:dyDescent="0.3">
      <c r="A58" s="5" t="s">
        <v>72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</sheetData>
  <mergeCells count="6">
    <mergeCell ref="A58:L58"/>
    <mergeCell ref="A1:L1"/>
    <mergeCell ref="A53:E53"/>
    <mergeCell ref="G53:I53"/>
    <mergeCell ref="A55:L55"/>
    <mergeCell ref="A56:L56"/>
  </mergeCells>
  <dataValidations count="3">
    <dataValidation type="list" sqref="E3:E52" xr:uid="{00000000-0002-0000-0100-000000000000}">
      <formula1>"Website,Web App,Custom Software,Android App,Other"</formula1>
      <formula2>0</formula2>
    </dataValidation>
    <dataValidation type="list" sqref="G3:G52" xr:uid="{00000000-0002-0000-0100-000001000000}">
      <formula1>"Referral,Cold Call,Walk-in,Instagram,PA Network,Other"</formula1>
      <formula2>0</formula2>
    </dataValidation>
    <dataValidation type="list" sqref="H3:H52" xr:uid="{00000000-0002-0000-0100-000002000000}">
      <formula1>"New,Contacted,Demo Scheduled,Proposal Sent,Negotiating,Lost"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2E4A"/>
  </sheetPr>
  <dimension ref="A1:S53"/>
  <sheetViews>
    <sheetView showGridLines="0" zoomScaleNormal="100" workbookViewId="0">
      <pane ySplit="2" topLeftCell="A3" activePane="bottomLeft" state="frozen"/>
      <selection pane="bottomLeft" activeCell="E30" sqref="E30"/>
    </sheetView>
  </sheetViews>
  <sheetFormatPr defaultColWidth="8.6640625" defaultRowHeight="14.4" x14ac:dyDescent="0.3"/>
  <cols>
    <col min="1" max="1" width="3" customWidth="1"/>
    <col min="2" max="2" width="20" customWidth="1"/>
    <col min="3" max="3" width="22" customWidth="1"/>
    <col min="4" max="4" width="16" customWidth="1"/>
    <col min="5" max="5" width="14" customWidth="1"/>
    <col min="6" max="7" width="15" customWidth="1"/>
    <col min="8" max="13" width="14" customWidth="1"/>
    <col min="14" max="14" width="13" customWidth="1"/>
    <col min="15" max="16" width="15" customWidth="1"/>
    <col min="17" max="17" width="18" customWidth="1"/>
    <col min="18" max="18" width="10" customWidth="1"/>
    <col min="19" max="19" width="28" customWidth="1"/>
  </cols>
  <sheetData>
    <row r="1" spans="1:19" ht="21.75" customHeight="1" x14ac:dyDescent="0.3">
      <c r="A1" s="14" t="s">
        <v>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8" customHeight="1" x14ac:dyDescent="0.3">
      <c r="A2" s="57" t="s">
        <v>29</v>
      </c>
      <c r="B2" s="57" t="s">
        <v>74</v>
      </c>
      <c r="C2" s="57" t="s">
        <v>75</v>
      </c>
      <c r="D2" s="57" t="s">
        <v>76</v>
      </c>
      <c r="E2" s="58" t="s">
        <v>77</v>
      </c>
      <c r="F2" s="58" t="s">
        <v>78</v>
      </c>
      <c r="G2" s="58" t="s">
        <v>79</v>
      </c>
      <c r="H2" s="59" t="s">
        <v>80</v>
      </c>
      <c r="I2" s="59" t="s">
        <v>81</v>
      </c>
      <c r="J2" s="60" t="s">
        <v>82</v>
      </c>
      <c r="K2" s="60" t="s">
        <v>83</v>
      </c>
      <c r="L2" s="60" t="s">
        <v>84</v>
      </c>
      <c r="M2" s="60" t="s">
        <v>85</v>
      </c>
      <c r="N2" s="60" t="s">
        <v>86</v>
      </c>
      <c r="O2" s="57" t="s">
        <v>87</v>
      </c>
      <c r="P2" s="57" t="s">
        <v>88</v>
      </c>
      <c r="Q2" s="57" t="s">
        <v>89</v>
      </c>
      <c r="R2" s="57" t="s">
        <v>90</v>
      </c>
      <c r="S2" s="57" t="s">
        <v>91</v>
      </c>
    </row>
    <row r="3" spans="1:19" ht="16.5" customHeight="1" x14ac:dyDescent="0.3">
      <c r="A3" s="46">
        <f>1</f>
        <v>1</v>
      </c>
      <c r="B3" s="40" t="s">
        <v>92</v>
      </c>
      <c r="C3" s="40" t="s">
        <v>93</v>
      </c>
      <c r="D3" s="40" t="s">
        <v>43</v>
      </c>
      <c r="E3" s="33">
        <v>40000</v>
      </c>
      <c r="F3" s="33">
        <v>20000</v>
      </c>
      <c r="G3" s="61">
        <f t="shared" ref="G3:G34" si="0">IF(E3="","",E3-F3)</f>
        <v>20000</v>
      </c>
      <c r="H3" s="33"/>
      <c r="I3" s="61">
        <f t="shared" ref="I3:I34" si="1">IF(F3="","",F3-IF(H3="",0,H3))</f>
        <v>20000</v>
      </c>
      <c r="J3" s="62">
        <f>IF($I3="","",$I3*'⚙️ Settings'!$D$5)</f>
        <v>10000</v>
      </c>
      <c r="K3" s="62">
        <f>IF($I3="","",$I3*'⚙️ Settings'!$D$6)</f>
        <v>2000</v>
      </c>
      <c r="L3" s="62">
        <f>IF($I3="","",$I3*'⚙️ Settings'!$D$7)</f>
        <v>3000</v>
      </c>
      <c r="M3" s="62">
        <f>IF($I3="","",$I3*'⚙️ Settings'!$D$8)</f>
        <v>4000</v>
      </c>
      <c r="N3" s="62">
        <f>IF($I3="","",$I3*'⚙️ Settings'!$D$9)</f>
        <v>1000</v>
      </c>
      <c r="O3" s="47">
        <v>46208</v>
      </c>
      <c r="P3" s="47"/>
      <c r="Q3" s="47">
        <v>46223</v>
      </c>
      <c r="R3" s="63" t="s">
        <v>94</v>
      </c>
      <c r="S3" s="48"/>
    </row>
    <row r="4" spans="1:19" ht="16.5" customHeight="1" x14ac:dyDescent="0.3">
      <c r="A4" s="46">
        <f>2</f>
        <v>2</v>
      </c>
      <c r="B4" s="50" t="s">
        <v>95</v>
      </c>
      <c r="C4" s="50" t="s">
        <v>96</v>
      </c>
      <c r="D4" s="50" t="s">
        <v>50</v>
      </c>
      <c r="E4" s="51">
        <v>60000</v>
      </c>
      <c r="F4" s="51">
        <v>60000</v>
      </c>
      <c r="G4" s="64">
        <f t="shared" si="0"/>
        <v>0</v>
      </c>
      <c r="H4" s="51"/>
      <c r="I4" s="64">
        <f t="shared" si="1"/>
        <v>60000</v>
      </c>
      <c r="J4" s="65">
        <f>IF($I4="","",$I4*'⚙️ Settings'!$D$5)</f>
        <v>30000</v>
      </c>
      <c r="K4" s="65">
        <f>IF($I4="","",$I4*'⚙️ Settings'!$D$6)</f>
        <v>6000</v>
      </c>
      <c r="L4" s="65">
        <f>IF($I4="","",$I4*'⚙️ Settings'!$D$7)</f>
        <v>9000</v>
      </c>
      <c r="M4" s="65">
        <f>IF($I4="","",$I4*'⚙️ Settings'!$D$8)</f>
        <v>12000</v>
      </c>
      <c r="N4" s="65">
        <f>IF($I4="","",$I4*'⚙️ Settings'!$D$9)</f>
        <v>3000</v>
      </c>
      <c r="O4" s="52">
        <v>46205</v>
      </c>
      <c r="P4" s="47"/>
      <c r="Q4" s="47">
        <v>46218</v>
      </c>
      <c r="R4" s="66" t="s">
        <v>97</v>
      </c>
      <c r="S4" s="53"/>
    </row>
    <row r="5" spans="1:19" ht="16.5" customHeight="1" x14ac:dyDescent="0.3">
      <c r="A5" s="46">
        <f>3</f>
        <v>3</v>
      </c>
      <c r="B5" s="40" t="s">
        <v>98</v>
      </c>
      <c r="C5" s="40" t="s">
        <v>99</v>
      </c>
      <c r="D5" s="40" t="s">
        <v>43</v>
      </c>
      <c r="E5" s="33">
        <v>30000</v>
      </c>
      <c r="F5" s="33">
        <v>15000</v>
      </c>
      <c r="G5" s="61">
        <f t="shared" si="0"/>
        <v>15000</v>
      </c>
      <c r="H5" s="33"/>
      <c r="I5" s="61">
        <f t="shared" si="1"/>
        <v>15000</v>
      </c>
      <c r="J5" s="62">
        <f>IF($I5="","",$I5*'⚙️ Settings'!$D$5)</f>
        <v>7500</v>
      </c>
      <c r="K5" s="62">
        <f>IF($I5="","",$I5*'⚙️ Settings'!$D$6)</f>
        <v>1500</v>
      </c>
      <c r="L5" s="62">
        <f>IF($I5="","",$I5*'⚙️ Settings'!$D$7)</f>
        <v>2250</v>
      </c>
      <c r="M5" s="62">
        <f>IF($I5="","",$I5*'⚙️ Settings'!$D$8)</f>
        <v>3000</v>
      </c>
      <c r="N5" s="62">
        <f>IF($I5="","",$I5*'⚙️ Settings'!$D$9)</f>
        <v>750</v>
      </c>
      <c r="O5" s="47">
        <v>46209</v>
      </c>
      <c r="P5" s="47"/>
      <c r="Q5" s="47">
        <v>46221</v>
      </c>
      <c r="R5" s="63" t="s">
        <v>94</v>
      </c>
      <c r="S5" s="48"/>
    </row>
    <row r="6" spans="1:19" ht="16.5" customHeight="1" x14ac:dyDescent="0.3">
      <c r="A6" s="46">
        <f>4</f>
        <v>4</v>
      </c>
      <c r="B6" s="50" t="s">
        <v>100</v>
      </c>
      <c r="C6" s="50" t="s">
        <v>101</v>
      </c>
      <c r="D6" s="50" t="s">
        <v>50</v>
      </c>
      <c r="E6" s="51">
        <v>50000</v>
      </c>
      <c r="F6" s="51">
        <v>25000</v>
      </c>
      <c r="G6" s="64">
        <f t="shared" si="0"/>
        <v>25000</v>
      </c>
      <c r="H6" s="51"/>
      <c r="I6" s="64">
        <f t="shared" si="1"/>
        <v>25000</v>
      </c>
      <c r="J6" s="65">
        <f>IF($I6="","",$I6*'⚙️ Settings'!$D$5)</f>
        <v>12500</v>
      </c>
      <c r="K6" s="65">
        <f>IF($I6="","",$I6*'⚙️ Settings'!$D$6)</f>
        <v>2500</v>
      </c>
      <c r="L6" s="65">
        <f>IF($I6="","",$I6*'⚙️ Settings'!$D$7)</f>
        <v>3750</v>
      </c>
      <c r="M6" s="65">
        <f>IF($I6="","",$I6*'⚙️ Settings'!$D$8)</f>
        <v>5000</v>
      </c>
      <c r="N6" s="65">
        <f>IF($I6="","",$I6*'⚙️ Settings'!$D$9)</f>
        <v>1250</v>
      </c>
      <c r="O6" s="52">
        <v>46207</v>
      </c>
      <c r="P6" s="47"/>
      <c r="Q6" s="47">
        <v>46225</v>
      </c>
      <c r="R6" s="66" t="s">
        <v>94</v>
      </c>
      <c r="S6" s="53"/>
    </row>
    <row r="7" spans="1:19" ht="16.5" customHeight="1" x14ac:dyDescent="0.3">
      <c r="A7" s="46">
        <f>5</f>
        <v>5</v>
      </c>
      <c r="B7" s="40" t="s">
        <v>102</v>
      </c>
      <c r="C7" s="40" t="s">
        <v>103</v>
      </c>
      <c r="D7" s="40" t="s">
        <v>60</v>
      </c>
      <c r="E7" s="33">
        <v>25000</v>
      </c>
      <c r="F7" s="33">
        <v>0</v>
      </c>
      <c r="G7" s="61">
        <f t="shared" si="0"/>
        <v>25000</v>
      </c>
      <c r="H7" s="33"/>
      <c r="I7" s="61">
        <f t="shared" si="1"/>
        <v>0</v>
      </c>
      <c r="J7" s="62">
        <f>IF($I7="","",$I7*'⚙️ Settings'!$D$5)</f>
        <v>0</v>
      </c>
      <c r="K7" s="62">
        <f>IF($I7="","",$I7*'⚙️ Settings'!$D$6)</f>
        <v>0</v>
      </c>
      <c r="L7" s="62">
        <f>IF($I7="","",$I7*'⚙️ Settings'!$D$7)</f>
        <v>0</v>
      </c>
      <c r="M7" s="62">
        <f>IF($I7="","",$I7*'⚙️ Settings'!$D$8)</f>
        <v>0</v>
      </c>
      <c r="N7" s="62">
        <f>IF($I7="","",$I7*'⚙️ Settings'!$D$9)</f>
        <v>0</v>
      </c>
      <c r="O7" s="47"/>
      <c r="P7" s="47"/>
      <c r="Q7" s="47">
        <v>46228</v>
      </c>
      <c r="R7" s="63" t="s">
        <v>104</v>
      </c>
      <c r="S7" s="48"/>
    </row>
    <row r="8" spans="1:19" ht="16.5" customHeight="1" x14ac:dyDescent="0.3">
      <c r="A8" s="46">
        <f>6</f>
        <v>6</v>
      </c>
      <c r="B8" s="50" t="s">
        <v>105</v>
      </c>
      <c r="C8" s="50" t="s">
        <v>106</v>
      </c>
      <c r="D8" s="50" t="s">
        <v>43</v>
      </c>
      <c r="E8" s="51">
        <v>80000</v>
      </c>
      <c r="F8" s="51">
        <v>40000</v>
      </c>
      <c r="G8" s="64">
        <f t="shared" si="0"/>
        <v>40000</v>
      </c>
      <c r="H8" s="51"/>
      <c r="I8" s="64">
        <f t="shared" si="1"/>
        <v>40000</v>
      </c>
      <c r="J8" s="65">
        <f>IF($I8="","",$I8*'⚙️ Settings'!$D$5)</f>
        <v>20000</v>
      </c>
      <c r="K8" s="65">
        <f>IF($I8="","",$I8*'⚙️ Settings'!$D$6)</f>
        <v>4000</v>
      </c>
      <c r="L8" s="65">
        <f>IF($I8="","",$I8*'⚙️ Settings'!$D$7)</f>
        <v>6000</v>
      </c>
      <c r="M8" s="65">
        <f>IF($I8="","",$I8*'⚙️ Settings'!$D$8)</f>
        <v>8000</v>
      </c>
      <c r="N8" s="65">
        <f>IF($I8="","",$I8*'⚙️ Settings'!$D$9)</f>
        <v>2000</v>
      </c>
      <c r="O8" s="52">
        <v>46206</v>
      </c>
      <c r="P8" s="52"/>
      <c r="Q8" s="52">
        <v>46231</v>
      </c>
      <c r="R8" s="66" t="s">
        <v>94</v>
      </c>
      <c r="S8" s="53"/>
    </row>
    <row r="9" spans="1:19" ht="16.5" customHeight="1" x14ac:dyDescent="0.3">
      <c r="A9" s="46">
        <f>7</f>
        <v>7</v>
      </c>
      <c r="B9" s="40"/>
      <c r="C9" s="40"/>
      <c r="D9" s="40"/>
      <c r="E9" s="33"/>
      <c r="F9" s="33"/>
      <c r="G9" s="61" t="str">
        <f t="shared" si="0"/>
        <v/>
      </c>
      <c r="H9" s="33"/>
      <c r="I9" s="61" t="str">
        <f t="shared" si="1"/>
        <v/>
      </c>
      <c r="J9" s="62" t="str">
        <f>IF($I9="","",$I9*'⚙️ Settings'!$D$5)</f>
        <v/>
      </c>
      <c r="K9" s="62" t="str">
        <f>IF($I9="","",$I9*'⚙️ Settings'!$D$6)</f>
        <v/>
      </c>
      <c r="L9" s="62" t="str">
        <f>IF($I9="","",$I9*'⚙️ Settings'!$D$7)</f>
        <v/>
      </c>
      <c r="M9" s="62" t="str">
        <f>IF($I9="","",$I9*'⚙️ Settings'!$D$8)</f>
        <v/>
      </c>
      <c r="N9" s="62" t="str">
        <f>IF($I9="","",$I9*'⚙️ Settings'!$D$9)</f>
        <v/>
      </c>
      <c r="O9" s="47"/>
      <c r="P9" s="47"/>
      <c r="Q9" s="47"/>
      <c r="R9" s="63"/>
      <c r="S9" s="48"/>
    </row>
    <row r="10" spans="1:19" ht="16.5" customHeight="1" x14ac:dyDescent="0.3">
      <c r="A10" s="46">
        <f>8</f>
        <v>8</v>
      </c>
      <c r="B10" s="50"/>
      <c r="C10" s="50"/>
      <c r="D10" s="50"/>
      <c r="E10" s="51"/>
      <c r="F10" s="51"/>
      <c r="G10" s="64" t="str">
        <f t="shared" si="0"/>
        <v/>
      </c>
      <c r="H10" s="51"/>
      <c r="I10" s="64" t="str">
        <f t="shared" si="1"/>
        <v/>
      </c>
      <c r="J10" s="65" t="str">
        <f>IF($I10="","",$I10*'⚙️ Settings'!$D$5)</f>
        <v/>
      </c>
      <c r="K10" s="65" t="str">
        <f>IF($I10="","",$I10*'⚙️ Settings'!$D$6)</f>
        <v/>
      </c>
      <c r="L10" s="65" t="str">
        <f>IF($I10="","",$I10*'⚙️ Settings'!$D$7)</f>
        <v/>
      </c>
      <c r="M10" s="65" t="str">
        <f>IF($I10="","",$I10*'⚙️ Settings'!$D$8)</f>
        <v/>
      </c>
      <c r="N10" s="65" t="str">
        <f>IF($I10="","",$I10*'⚙️ Settings'!$D$9)</f>
        <v/>
      </c>
      <c r="O10" s="52"/>
      <c r="P10" s="52"/>
      <c r="Q10" s="52"/>
      <c r="R10" s="66"/>
      <c r="S10" s="53"/>
    </row>
    <row r="11" spans="1:19" ht="16.5" customHeight="1" x14ac:dyDescent="0.3">
      <c r="A11" s="46">
        <f>9</f>
        <v>9</v>
      </c>
      <c r="B11" s="40"/>
      <c r="C11" s="40"/>
      <c r="D11" s="40"/>
      <c r="E11" s="33"/>
      <c r="F11" s="33"/>
      <c r="G11" s="61" t="str">
        <f t="shared" si="0"/>
        <v/>
      </c>
      <c r="H11" s="33"/>
      <c r="I11" s="61" t="str">
        <f t="shared" si="1"/>
        <v/>
      </c>
      <c r="J11" s="62" t="str">
        <f>IF($I11="","",$I11*'⚙️ Settings'!$D$5)</f>
        <v/>
      </c>
      <c r="K11" s="62" t="str">
        <f>IF($I11="","",$I11*'⚙️ Settings'!$D$6)</f>
        <v/>
      </c>
      <c r="L11" s="62" t="str">
        <f>IF($I11="","",$I11*'⚙️ Settings'!$D$7)</f>
        <v/>
      </c>
      <c r="M11" s="62" t="str">
        <f>IF($I11="","",$I11*'⚙️ Settings'!$D$8)</f>
        <v/>
      </c>
      <c r="N11" s="62" t="str">
        <f>IF($I11="","",$I11*'⚙️ Settings'!$D$9)</f>
        <v/>
      </c>
      <c r="O11" s="47"/>
      <c r="P11" s="47"/>
      <c r="Q11" s="47"/>
      <c r="R11" s="63"/>
      <c r="S11" s="48"/>
    </row>
    <row r="12" spans="1:19" ht="16.5" customHeight="1" x14ac:dyDescent="0.3">
      <c r="A12" s="46">
        <f>10</f>
        <v>10</v>
      </c>
      <c r="B12" s="50"/>
      <c r="C12" s="50"/>
      <c r="D12" s="50"/>
      <c r="E12" s="51"/>
      <c r="F12" s="51"/>
      <c r="G12" s="64" t="str">
        <f t="shared" si="0"/>
        <v/>
      </c>
      <c r="H12" s="51"/>
      <c r="I12" s="64" t="str">
        <f t="shared" si="1"/>
        <v/>
      </c>
      <c r="J12" s="65" t="str">
        <f>IF($I12="","",$I12*'⚙️ Settings'!$D$5)</f>
        <v/>
      </c>
      <c r="K12" s="65" t="str">
        <f>IF($I12="","",$I12*'⚙️ Settings'!$D$6)</f>
        <v/>
      </c>
      <c r="L12" s="65" t="str">
        <f>IF($I12="","",$I12*'⚙️ Settings'!$D$7)</f>
        <v/>
      </c>
      <c r="M12" s="65" t="str">
        <f>IF($I12="","",$I12*'⚙️ Settings'!$D$8)</f>
        <v/>
      </c>
      <c r="N12" s="65" t="str">
        <f>IF($I12="","",$I12*'⚙️ Settings'!$D$9)</f>
        <v/>
      </c>
      <c r="O12" s="52"/>
      <c r="P12" s="52"/>
      <c r="Q12" s="52"/>
      <c r="R12" s="66"/>
      <c r="S12" s="53"/>
    </row>
    <row r="13" spans="1:19" ht="16.5" customHeight="1" x14ac:dyDescent="0.3">
      <c r="A13" s="46">
        <f>11</f>
        <v>11</v>
      </c>
      <c r="B13" s="40"/>
      <c r="C13" s="40"/>
      <c r="D13" s="40"/>
      <c r="E13" s="33"/>
      <c r="F13" s="33"/>
      <c r="G13" s="61" t="str">
        <f t="shared" si="0"/>
        <v/>
      </c>
      <c r="H13" s="33"/>
      <c r="I13" s="61" t="str">
        <f t="shared" si="1"/>
        <v/>
      </c>
      <c r="J13" s="62" t="str">
        <f>IF($I13="","",$I13*'⚙️ Settings'!$D$5)</f>
        <v/>
      </c>
      <c r="K13" s="62" t="str">
        <f>IF($I13="","",$I13*'⚙️ Settings'!$D$6)</f>
        <v/>
      </c>
      <c r="L13" s="62" t="str">
        <f>IF($I13="","",$I13*'⚙️ Settings'!$D$7)</f>
        <v/>
      </c>
      <c r="M13" s="62" t="str">
        <f>IF($I13="","",$I13*'⚙️ Settings'!$D$8)</f>
        <v/>
      </c>
      <c r="N13" s="62" t="str">
        <f>IF($I13="","",$I13*'⚙️ Settings'!$D$9)</f>
        <v/>
      </c>
      <c r="O13" s="47"/>
      <c r="P13" s="47"/>
      <c r="Q13" s="47"/>
      <c r="R13" s="63"/>
      <c r="S13" s="48"/>
    </row>
    <row r="14" spans="1:19" ht="16.5" customHeight="1" x14ac:dyDescent="0.3">
      <c r="A14" s="46">
        <f>12</f>
        <v>12</v>
      </c>
      <c r="B14" s="50"/>
      <c r="C14" s="50"/>
      <c r="D14" s="50"/>
      <c r="E14" s="51"/>
      <c r="F14" s="51"/>
      <c r="G14" s="64" t="str">
        <f t="shared" si="0"/>
        <v/>
      </c>
      <c r="H14" s="51"/>
      <c r="I14" s="64" t="str">
        <f t="shared" si="1"/>
        <v/>
      </c>
      <c r="J14" s="65" t="str">
        <f>IF($I14="","",$I14*'⚙️ Settings'!$D$5)</f>
        <v/>
      </c>
      <c r="K14" s="65" t="str">
        <f>IF($I14="","",$I14*'⚙️ Settings'!$D$6)</f>
        <v/>
      </c>
      <c r="L14" s="65" t="str">
        <f>IF($I14="","",$I14*'⚙️ Settings'!$D$7)</f>
        <v/>
      </c>
      <c r="M14" s="65" t="str">
        <f>IF($I14="","",$I14*'⚙️ Settings'!$D$8)</f>
        <v/>
      </c>
      <c r="N14" s="65" t="str">
        <f>IF($I14="","",$I14*'⚙️ Settings'!$D$9)</f>
        <v/>
      </c>
      <c r="O14" s="52"/>
      <c r="P14" s="52"/>
      <c r="Q14" s="52"/>
      <c r="R14" s="66"/>
      <c r="S14" s="53"/>
    </row>
    <row r="15" spans="1:19" ht="16.5" customHeight="1" x14ac:dyDescent="0.3">
      <c r="A15" s="46">
        <f>13</f>
        <v>13</v>
      </c>
      <c r="B15" s="40"/>
      <c r="C15" s="40"/>
      <c r="D15" s="40"/>
      <c r="E15" s="33"/>
      <c r="F15" s="33"/>
      <c r="G15" s="61" t="str">
        <f t="shared" si="0"/>
        <v/>
      </c>
      <c r="H15" s="33"/>
      <c r="I15" s="61" t="str">
        <f t="shared" si="1"/>
        <v/>
      </c>
      <c r="J15" s="62" t="str">
        <f>IF($I15="","",$I15*'⚙️ Settings'!$D$5)</f>
        <v/>
      </c>
      <c r="K15" s="62" t="str">
        <f>IF($I15="","",$I15*'⚙️ Settings'!$D$6)</f>
        <v/>
      </c>
      <c r="L15" s="62" t="str">
        <f>IF($I15="","",$I15*'⚙️ Settings'!$D$7)</f>
        <v/>
      </c>
      <c r="M15" s="62" t="str">
        <f>IF($I15="","",$I15*'⚙️ Settings'!$D$8)</f>
        <v/>
      </c>
      <c r="N15" s="62" t="str">
        <f>IF($I15="","",$I15*'⚙️ Settings'!$D$9)</f>
        <v/>
      </c>
      <c r="O15" s="47"/>
      <c r="P15" s="47"/>
      <c r="Q15" s="47"/>
      <c r="R15" s="63"/>
      <c r="S15" s="48"/>
    </row>
    <row r="16" spans="1:19" ht="16.5" customHeight="1" x14ac:dyDescent="0.3">
      <c r="A16" s="46">
        <f>14</f>
        <v>14</v>
      </c>
      <c r="B16" s="50"/>
      <c r="C16" s="50"/>
      <c r="D16" s="50"/>
      <c r="E16" s="51"/>
      <c r="F16" s="51"/>
      <c r="G16" s="64" t="str">
        <f t="shared" si="0"/>
        <v/>
      </c>
      <c r="H16" s="51"/>
      <c r="I16" s="64" t="str">
        <f t="shared" si="1"/>
        <v/>
      </c>
      <c r="J16" s="65" t="str">
        <f>IF($I16="","",$I16*'⚙️ Settings'!$D$5)</f>
        <v/>
      </c>
      <c r="K16" s="65" t="str">
        <f>IF($I16="","",$I16*'⚙️ Settings'!$D$6)</f>
        <v/>
      </c>
      <c r="L16" s="65" t="str">
        <f>IF($I16="","",$I16*'⚙️ Settings'!$D$7)</f>
        <v/>
      </c>
      <c r="M16" s="65" t="str">
        <f>IF($I16="","",$I16*'⚙️ Settings'!$D$8)</f>
        <v/>
      </c>
      <c r="N16" s="65" t="str">
        <f>IF($I16="","",$I16*'⚙️ Settings'!$D$9)</f>
        <v/>
      </c>
      <c r="O16" s="52"/>
      <c r="P16" s="52"/>
      <c r="Q16" s="52"/>
      <c r="R16" s="66"/>
      <c r="S16" s="53"/>
    </row>
    <row r="17" spans="1:19" ht="16.5" customHeight="1" x14ac:dyDescent="0.3">
      <c r="A17" s="46">
        <f>15</f>
        <v>15</v>
      </c>
      <c r="B17" s="40"/>
      <c r="C17" s="40"/>
      <c r="D17" s="40"/>
      <c r="E17" s="33"/>
      <c r="F17" s="33"/>
      <c r="G17" s="61" t="str">
        <f t="shared" si="0"/>
        <v/>
      </c>
      <c r="H17" s="33"/>
      <c r="I17" s="61" t="str">
        <f t="shared" si="1"/>
        <v/>
      </c>
      <c r="J17" s="62" t="str">
        <f>IF($I17="","",$I17*'⚙️ Settings'!$D$5)</f>
        <v/>
      </c>
      <c r="K17" s="62" t="str">
        <f>IF($I17="","",$I17*'⚙️ Settings'!$D$6)</f>
        <v/>
      </c>
      <c r="L17" s="62" t="str">
        <f>IF($I17="","",$I17*'⚙️ Settings'!$D$7)</f>
        <v/>
      </c>
      <c r="M17" s="62" t="str">
        <f>IF($I17="","",$I17*'⚙️ Settings'!$D$8)</f>
        <v/>
      </c>
      <c r="N17" s="62" t="str">
        <f>IF($I17="","",$I17*'⚙️ Settings'!$D$9)</f>
        <v/>
      </c>
      <c r="O17" s="47"/>
      <c r="P17" s="47"/>
      <c r="Q17" s="47"/>
      <c r="R17" s="63"/>
      <c r="S17" s="48"/>
    </row>
    <row r="18" spans="1:19" ht="16.5" customHeight="1" x14ac:dyDescent="0.3">
      <c r="A18" s="46">
        <f>16</f>
        <v>16</v>
      </c>
      <c r="B18" s="50"/>
      <c r="C18" s="50"/>
      <c r="D18" s="50"/>
      <c r="E18" s="51"/>
      <c r="F18" s="51"/>
      <c r="G18" s="64" t="str">
        <f t="shared" si="0"/>
        <v/>
      </c>
      <c r="H18" s="51"/>
      <c r="I18" s="64" t="str">
        <f t="shared" si="1"/>
        <v/>
      </c>
      <c r="J18" s="65" t="str">
        <f>IF($I18="","",$I18*'⚙️ Settings'!$D$5)</f>
        <v/>
      </c>
      <c r="K18" s="65" t="str">
        <f>IF($I18="","",$I18*'⚙️ Settings'!$D$6)</f>
        <v/>
      </c>
      <c r="L18" s="65" t="str">
        <f>IF($I18="","",$I18*'⚙️ Settings'!$D$7)</f>
        <v/>
      </c>
      <c r="M18" s="65" t="str">
        <f>IF($I18="","",$I18*'⚙️ Settings'!$D$8)</f>
        <v/>
      </c>
      <c r="N18" s="65" t="str">
        <f>IF($I18="","",$I18*'⚙️ Settings'!$D$9)</f>
        <v/>
      </c>
      <c r="O18" s="52"/>
      <c r="P18" s="52"/>
      <c r="Q18" s="52"/>
      <c r="R18" s="66"/>
      <c r="S18" s="53"/>
    </row>
    <row r="19" spans="1:19" ht="16.5" customHeight="1" x14ac:dyDescent="0.3">
      <c r="A19" s="46">
        <f>17</f>
        <v>17</v>
      </c>
      <c r="B19" s="40"/>
      <c r="C19" s="40"/>
      <c r="D19" s="40"/>
      <c r="E19" s="33"/>
      <c r="F19" s="33"/>
      <c r="G19" s="61" t="str">
        <f t="shared" si="0"/>
        <v/>
      </c>
      <c r="H19" s="33"/>
      <c r="I19" s="61" t="str">
        <f t="shared" si="1"/>
        <v/>
      </c>
      <c r="J19" s="62" t="str">
        <f>IF($I19="","",$I19*'⚙️ Settings'!$D$5)</f>
        <v/>
      </c>
      <c r="K19" s="62" t="str">
        <f>IF($I19="","",$I19*'⚙️ Settings'!$D$6)</f>
        <v/>
      </c>
      <c r="L19" s="62" t="str">
        <f>IF($I19="","",$I19*'⚙️ Settings'!$D$7)</f>
        <v/>
      </c>
      <c r="M19" s="62" t="str">
        <f>IF($I19="","",$I19*'⚙️ Settings'!$D$8)</f>
        <v/>
      </c>
      <c r="N19" s="62" t="str">
        <f>IF($I19="","",$I19*'⚙️ Settings'!$D$9)</f>
        <v/>
      </c>
      <c r="O19" s="47"/>
      <c r="P19" s="47"/>
      <c r="Q19" s="47"/>
      <c r="R19" s="63"/>
      <c r="S19" s="48"/>
    </row>
    <row r="20" spans="1:19" ht="16.5" customHeight="1" x14ac:dyDescent="0.3">
      <c r="A20" s="46">
        <f>18</f>
        <v>18</v>
      </c>
      <c r="B20" s="50"/>
      <c r="C20" s="50"/>
      <c r="D20" s="50"/>
      <c r="E20" s="51"/>
      <c r="F20" s="51"/>
      <c r="G20" s="64" t="str">
        <f t="shared" si="0"/>
        <v/>
      </c>
      <c r="H20" s="51"/>
      <c r="I20" s="64" t="str">
        <f t="shared" si="1"/>
        <v/>
      </c>
      <c r="J20" s="65" t="str">
        <f>IF($I20="","",$I20*'⚙️ Settings'!$D$5)</f>
        <v/>
      </c>
      <c r="K20" s="65" t="str">
        <f>IF($I20="","",$I20*'⚙️ Settings'!$D$6)</f>
        <v/>
      </c>
      <c r="L20" s="65" t="str">
        <f>IF($I20="","",$I20*'⚙️ Settings'!$D$7)</f>
        <v/>
      </c>
      <c r="M20" s="65" t="str">
        <f>IF($I20="","",$I20*'⚙️ Settings'!$D$8)</f>
        <v/>
      </c>
      <c r="N20" s="65" t="str">
        <f>IF($I20="","",$I20*'⚙️ Settings'!$D$9)</f>
        <v/>
      </c>
      <c r="O20" s="52"/>
      <c r="P20" s="52"/>
      <c r="Q20" s="52"/>
      <c r="R20" s="66"/>
      <c r="S20" s="53"/>
    </row>
    <row r="21" spans="1:19" ht="16.5" customHeight="1" x14ac:dyDescent="0.3">
      <c r="A21" s="46">
        <f>19</f>
        <v>19</v>
      </c>
      <c r="B21" s="40"/>
      <c r="C21" s="40"/>
      <c r="D21" s="40"/>
      <c r="E21" s="33"/>
      <c r="F21" s="33"/>
      <c r="G21" s="61" t="str">
        <f t="shared" si="0"/>
        <v/>
      </c>
      <c r="H21" s="33"/>
      <c r="I21" s="61" t="str">
        <f t="shared" si="1"/>
        <v/>
      </c>
      <c r="J21" s="62" t="str">
        <f>IF($I21="","",$I21*'⚙️ Settings'!$D$5)</f>
        <v/>
      </c>
      <c r="K21" s="62" t="str">
        <f>IF($I21="","",$I21*'⚙️ Settings'!$D$6)</f>
        <v/>
      </c>
      <c r="L21" s="62" t="str">
        <f>IF($I21="","",$I21*'⚙️ Settings'!$D$7)</f>
        <v/>
      </c>
      <c r="M21" s="62" t="str">
        <f>IF($I21="","",$I21*'⚙️ Settings'!$D$8)</f>
        <v/>
      </c>
      <c r="N21" s="62" t="str">
        <f>IF($I21="","",$I21*'⚙️ Settings'!$D$9)</f>
        <v/>
      </c>
      <c r="O21" s="47"/>
      <c r="P21" s="47"/>
      <c r="Q21" s="47"/>
      <c r="R21" s="63"/>
      <c r="S21" s="48"/>
    </row>
    <row r="22" spans="1:19" ht="16.5" customHeight="1" x14ac:dyDescent="0.3">
      <c r="A22" s="46">
        <f>20</f>
        <v>20</v>
      </c>
      <c r="B22" s="50"/>
      <c r="C22" s="50"/>
      <c r="D22" s="50"/>
      <c r="E22" s="51"/>
      <c r="F22" s="51"/>
      <c r="G22" s="64" t="str">
        <f t="shared" si="0"/>
        <v/>
      </c>
      <c r="H22" s="51"/>
      <c r="I22" s="64" t="str">
        <f t="shared" si="1"/>
        <v/>
      </c>
      <c r="J22" s="65" t="str">
        <f>IF($I22="","",$I22*'⚙️ Settings'!$D$5)</f>
        <v/>
      </c>
      <c r="K22" s="65" t="str">
        <f>IF($I22="","",$I22*'⚙️ Settings'!$D$6)</f>
        <v/>
      </c>
      <c r="L22" s="65" t="str">
        <f>IF($I22="","",$I22*'⚙️ Settings'!$D$7)</f>
        <v/>
      </c>
      <c r="M22" s="65" t="str">
        <f>IF($I22="","",$I22*'⚙️ Settings'!$D$8)</f>
        <v/>
      </c>
      <c r="N22" s="65" t="str">
        <f>IF($I22="","",$I22*'⚙️ Settings'!$D$9)</f>
        <v/>
      </c>
      <c r="O22" s="52"/>
      <c r="P22" s="52"/>
      <c r="Q22" s="52"/>
      <c r="R22" s="66"/>
      <c r="S22" s="53"/>
    </row>
    <row r="23" spans="1:19" ht="16.5" customHeight="1" x14ac:dyDescent="0.3">
      <c r="A23" s="46">
        <f>21</f>
        <v>21</v>
      </c>
      <c r="B23" s="40"/>
      <c r="C23" s="40"/>
      <c r="D23" s="40"/>
      <c r="E23" s="33"/>
      <c r="F23" s="33"/>
      <c r="G23" s="61" t="str">
        <f t="shared" si="0"/>
        <v/>
      </c>
      <c r="H23" s="33"/>
      <c r="I23" s="61" t="str">
        <f t="shared" si="1"/>
        <v/>
      </c>
      <c r="J23" s="62" t="str">
        <f>IF($I23="","",$I23*'⚙️ Settings'!$D$5)</f>
        <v/>
      </c>
      <c r="K23" s="62" t="str">
        <f>IF($I23="","",$I23*'⚙️ Settings'!$D$6)</f>
        <v/>
      </c>
      <c r="L23" s="62" t="str">
        <f>IF($I23="","",$I23*'⚙️ Settings'!$D$7)</f>
        <v/>
      </c>
      <c r="M23" s="62" t="str">
        <f>IF($I23="","",$I23*'⚙️ Settings'!$D$8)</f>
        <v/>
      </c>
      <c r="N23" s="62" t="str">
        <f>IF($I23="","",$I23*'⚙️ Settings'!$D$9)</f>
        <v/>
      </c>
      <c r="O23" s="47"/>
      <c r="P23" s="47"/>
      <c r="Q23" s="47"/>
      <c r="R23" s="63"/>
      <c r="S23" s="48"/>
    </row>
    <row r="24" spans="1:19" ht="16.5" customHeight="1" x14ac:dyDescent="0.3">
      <c r="A24" s="46">
        <f>22</f>
        <v>22</v>
      </c>
      <c r="B24" s="50"/>
      <c r="C24" s="50"/>
      <c r="D24" s="50"/>
      <c r="E24" s="51"/>
      <c r="F24" s="51"/>
      <c r="G24" s="64" t="str">
        <f t="shared" si="0"/>
        <v/>
      </c>
      <c r="H24" s="51"/>
      <c r="I24" s="64" t="str">
        <f t="shared" si="1"/>
        <v/>
      </c>
      <c r="J24" s="65" t="str">
        <f>IF($I24="","",$I24*'⚙️ Settings'!$D$5)</f>
        <v/>
      </c>
      <c r="K24" s="65" t="str">
        <f>IF($I24="","",$I24*'⚙️ Settings'!$D$6)</f>
        <v/>
      </c>
      <c r="L24" s="65" t="str">
        <f>IF($I24="","",$I24*'⚙️ Settings'!$D$7)</f>
        <v/>
      </c>
      <c r="M24" s="65" t="str">
        <f>IF($I24="","",$I24*'⚙️ Settings'!$D$8)</f>
        <v/>
      </c>
      <c r="N24" s="65" t="str">
        <f>IF($I24="","",$I24*'⚙️ Settings'!$D$9)</f>
        <v/>
      </c>
      <c r="O24" s="52"/>
      <c r="P24" s="52"/>
      <c r="Q24" s="52"/>
      <c r="R24" s="66"/>
      <c r="S24" s="53"/>
    </row>
    <row r="25" spans="1:19" ht="16.5" customHeight="1" x14ac:dyDescent="0.3">
      <c r="A25" s="46">
        <f>23</f>
        <v>23</v>
      </c>
      <c r="B25" s="40"/>
      <c r="C25" s="40"/>
      <c r="D25" s="40"/>
      <c r="E25" s="33"/>
      <c r="F25" s="33"/>
      <c r="G25" s="61" t="str">
        <f t="shared" si="0"/>
        <v/>
      </c>
      <c r="H25" s="33"/>
      <c r="I25" s="61" t="str">
        <f t="shared" si="1"/>
        <v/>
      </c>
      <c r="J25" s="62" t="str">
        <f>IF($I25="","",$I25*'⚙️ Settings'!$D$5)</f>
        <v/>
      </c>
      <c r="K25" s="62" t="str">
        <f>IF($I25="","",$I25*'⚙️ Settings'!$D$6)</f>
        <v/>
      </c>
      <c r="L25" s="62" t="str">
        <f>IF($I25="","",$I25*'⚙️ Settings'!$D$7)</f>
        <v/>
      </c>
      <c r="M25" s="62" t="str">
        <f>IF($I25="","",$I25*'⚙️ Settings'!$D$8)</f>
        <v/>
      </c>
      <c r="N25" s="62" t="str">
        <f>IF($I25="","",$I25*'⚙️ Settings'!$D$9)</f>
        <v/>
      </c>
      <c r="O25" s="47"/>
      <c r="P25" s="47"/>
      <c r="Q25" s="47"/>
      <c r="R25" s="63"/>
      <c r="S25" s="48"/>
    </row>
    <row r="26" spans="1:19" ht="16.5" customHeight="1" x14ac:dyDescent="0.3">
      <c r="A26" s="46">
        <f>24</f>
        <v>24</v>
      </c>
      <c r="B26" s="50"/>
      <c r="C26" s="50"/>
      <c r="D26" s="50"/>
      <c r="E26" s="51"/>
      <c r="F26" s="51"/>
      <c r="G26" s="64" t="str">
        <f t="shared" si="0"/>
        <v/>
      </c>
      <c r="H26" s="51"/>
      <c r="I26" s="64" t="str">
        <f t="shared" si="1"/>
        <v/>
      </c>
      <c r="J26" s="65" t="str">
        <f>IF($I26="","",$I26*'⚙️ Settings'!$D$5)</f>
        <v/>
      </c>
      <c r="K26" s="65" t="str">
        <f>IF($I26="","",$I26*'⚙️ Settings'!$D$6)</f>
        <v/>
      </c>
      <c r="L26" s="65" t="str">
        <f>IF($I26="","",$I26*'⚙️ Settings'!$D$7)</f>
        <v/>
      </c>
      <c r="M26" s="65" t="str">
        <f>IF($I26="","",$I26*'⚙️ Settings'!$D$8)</f>
        <v/>
      </c>
      <c r="N26" s="65" t="str">
        <f>IF($I26="","",$I26*'⚙️ Settings'!$D$9)</f>
        <v/>
      </c>
      <c r="O26" s="52"/>
      <c r="P26" s="52"/>
      <c r="Q26" s="52"/>
      <c r="R26" s="66"/>
      <c r="S26" s="53"/>
    </row>
    <row r="27" spans="1:19" ht="16.5" customHeight="1" x14ac:dyDescent="0.3">
      <c r="A27" s="46">
        <f>25</f>
        <v>25</v>
      </c>
      <c r="B27" s="40"/>
      <c r="C27" s="40"/>
      <c r="D27" s="40"/>
      <c r="E27" s="33"/>
      <c r="F27" s="33"/>
      <c r="G27" s="61" t="str">
        <f t="shared" si="0"/>
        <v/>
      </c>
      <c r="H27" s="33"/>
      <c r="I27" s="61" t="str">
        <f t="shared" si="1"/>
        <v/>
      </c>
      <c r="J27" s="62" t="str">
        <f>IF($I27="","",$I27*'⚙️ Settings'!$D$5)</f>
        <v/>
      </c>
      <c r="K27" s="62" t="str">
        <f>IF($I27="","",$I27*'⚙️ Settings'!$D$6)</f>
        <v/>
      </c>
      <c r="L27" s="62" t="str">
        <f>IF($I27="","",$I27*'⚙️ Settings'!$D$7)</f>
        <v/>
      </c>
      <c r="M27" s="62" t="str">
        <f>IF($I27="","",$I27*'⚙️ Settings'!$D$8)</f>
        <v/>
      </c>
      <c r="N27" s="62" t="str">
        <f>IF($I27="","",$I27*'⚙️ Settings'!$D$9)</f>
        <v/>
      </c>
      <c r="O27" s="47"/>
      <c r="P27" s="47"/>
      <c r="Q27" s="47"/>
      <c r="R27" s="63"/>
      <c r="S27" s="48"/>
    </row>
    <row r="28" spans="1:19" ht="16.5" customHeight="1" x14ac:dyDescent="0.3">
      <c r="A28" s="46">
        <f>26</f>
        <v>26</v>
      </c>
      <c r="B28" s="50"/>
      <c r="C28" s="50"/>
      <c r="D28" s="50"/>
      <c r="E28" s="51"/>
      <c r="F28" s="51"/>
      <c r="G28" s="64" t="str">
        <f t="shared" si="0"/>
        <v/>
      </c>
      <c r="H28" s="51"/>
      <c r="I28" s="64" t="str">
        <f t="shared" si="1"/>
        <v/>
      </c>
      <c r="J28" s="65" t="str">
        <f>IF($I28="","",$I28*'⚙️ Settings'!$D$5)</f>
        <v/>
      </c>
      <c r="K28" s="65" t="str">
        <f>IF($I28="","",$I28*'⚙️ Settings'!$D$6)</f>
        <v/>
      </c>
      <c r="L28" s="65" t="str">
        <f>IF($I28="","",$I28*'⚙️ Settings'!$D$7)</f>
        <v/>
      </c>
      <c r="M28" s="65" t="str">
        <f>IF($I28="","",$I28*'⚙️ Settings'!$D$8)</f>
        <v/>
      </c>
      <c r="N28" s="65" t="str">
        <f>IF($I28="","",$I28*'⚙️ Settings'!$D$9)</f>
        <v/>
      </c>
      <c r="O28" s="52"/>
      <c r="P28" s="52"/>
      <c r="Q28" s="52"/>
      <c r="R28" s="66"/>
      <c r="S28" s="53"/>
    </row>
    <row r="29" spans="1:19" ht="16.5" customHeight="1" x14ac:dyDescent="0.3">
      <c r="A29" s="46">
        <f>27</f>
        <v>27</v>
      </c>
      <c r="B29" s="40"/>
      <c r="C29" s="40"/>
      <c r="D29" s="40"/>
      <c r="E29" s="33"/>
      <c r="F29" s="33"/>
      <c r="G29" s="61" t="str">
        <f t="shared" si="0"/>
        <v/>
      </c>
      <c r="H29" s="33"/>
      <c r="I29" s="61" t="str">
        <f t="shared" si="1"/>
        <v/>
      </c>
      <c r="J29" s="62" t="str">
        <f>IF($I29="","",$I29*'⚙️ Settings'!$D$5)</f>
        <v/>
      </c>
      <c r="K29" s="62" t="str">
        <f>IF($I29="","",$I29*'⚙️ Settings'!$D$6)</f>
        <v/>
      </c>
      <c r="L29" s="62" t="str">
        <f>IF($I29="","",$I29*'⚙️ Settings'!$D$7)</f>
        <v/>
      </c>
      <c r="M29" s="62" t="str">
        <f>IF($I29="","",$I29*'⚙️ Settings'!$D$8)</f>
        <v/>
      </c>
      <c r="N29" s="62" t="str">
        <f>IF($I29="","",$I29*'⚙️ Settings'!$D$9)</f>
        <v/>
      </c>
      <c r="O29" s="47"/>
      <c r="P29" s="47"/>
      <c r="Q29" s="47"/>
      <c r="R29" s="63"/>
      <c r="S29" s="48"/>
    </row>
    <row r="30" spans="1:19" ht="16.5" customHeight="1" x14ac:dyDescent="0.3">
      <c r="A30" s="46">
        <f>28</f>
        <v>28</v>
      </c>
      <c r="B30" s="50"/>
      <c r="C30" s="50"/>
      <c r="D30" s="50"/>
      <c r="E30" s="51"/>
      <c r="F30" s="51"/>
      <c r="G30" s="64" t="str">
        <f t="shared" si="0"/>
        <v/>
      </c>
      <c r="H30" s="51"/>
      <c r="I30" s="64" t="str">
        <f t="shared" si="1"/>
        <v/>
      </c>
      <c r="J30" s="65" t="str">
        <f>IF($I30="","",$I30*'⚙️ Settings'!$D$5)</f>
        <v/>
      </c>
      <c r="K30" s="65" t="str">
        <f>IF($I30="","",$I30*'⚙️ Settings'!$D$6)</f>
        <v/>
      </c>
      <c r="L30" s="65" t="str">
        <f>IF($I30="","",$I30*'⚙️ Settings'!$D$7)</f>
        <v/>
      </c>
      <c r="M30" s="65" t="str">
        <f>IF($I30="","",$I30*'⚙️ Settings'!$D$8)</f>
        <v/>
      </c>
      <c r="N30" s="65" t="str">
        <f>IF($I30="","",$I30*'⚙️ Settings'!$D$9)</f>
        <v/>
      </c>
      <c r="O30" s="52"/>
      <c r="P30" s="52"/>
      <c r="Q30" s="52"/>
      <c r="R30" s="66"/>
      <c r="S30" s="53"/>
    </row>
    <row r="31" spans="1:19" ht="16.5" customHeight="1" x14ac:dyDescent="0.3">
      <c r="A31" s="46">
        <f>29</f>
        <v>29</v>
      </c>
      <c r="B31" s="40"/>
      <c r="C31" s="40"/>
      <c r="D31" s="40"/>
      <c r="E31" s="33"/>
      <c r="F31" s="33"/>
      <c r="G31" s="61" t="str">
        <f t="shared" si="0"/>
        <v/>
      </c>
      <c r="H31" s="33"/>
      <c r="I31" s="61" t="str">
        <f t="shared" si="1"/>
        <v/>
      </c>
      <c r="J31" s="62" t="str">
        <f>IF($I31="","",$I31*'⚙️ Settings'!$D$5)</f>
        <v/>
      </c>
      <c r="K31" s="62" t="str">
        <f>IF($I31="","",$I31*'⚙️ Settings'!$D$6)</f>
        <v/>
      </c>
      <c r="L31" s="62" t="str">
        <f>IF($I31="","",$I31*'⚙️ Settings'!$D$7)</f>
        <v/>
      </c>
      <c r="M31" s="62" t="str">
        <f>IF($I31="","",$I31*'⚙️ Settings'!$D$8)</f>
        <v/>
      </c>
      <c r="N31" s="62" t="str">
        <f>IF($I31="","",$I31*'⚙️ Settings'!$D$9)</f>
        <v/>
      </c>
      <c r="O31" s="47"/>
      <c r="P31" s="47"/>
      <c r="Q31" s="47"/>
      <c r="R31" s="63"/>
      <c r="S31" s="48"/>
    </row>
    <row r="32" spans="1:19" ht="16.5" customHeight="1" x14ac:dyDescent="0.3">
      <c r="A32" s="46">
        <f>30</f>
        <v>30</v>
      </c>
      <c r="B32" s="50"/>
      <c r="C32" s="50"/>
      <c r="D32" s="50"/>
      <c r="E32" s="51"/>
      <c r="F32" s="51"/>
      <c r="G32" s="64" t="str">
        <f t="shared" si="0"/>
        <v/>
      </c>
      <c r="H32" s="51"/>
      <c r="I32" s="64" t="str">
        <f t="shared" si="1"/>
        <v/>
      </c>
      <c r="J32" s="65" t="str">
        <f>IF($I32="","",$I32*'⚙️ Settings'!$D$5)</f>
        <v/>
      </c>
      <c r="K32" s="65" t="str">
        <f>IF($I32="","",$I32*'⚙️ Settings'!$D$6)</f>
        <v/>
      </c>
      <c r="L32" s="65" t="str">
        <f>IF($I32="","",$I32*'⚙️ Settings'!$D$7)</f>
        <v/>
      </c>
      <c r="M32" s="65" t="str">
        <f>IF($I32="","",$I32*'⚙️ Settings'!$D$8)</f>
        <v/>
      </c>
      <c r="N32" s="65" t="str">
        <f>IF($I32="","",$I32*'⚙️ Settings'!$D$9)</f>
        <v/>
      </c>
      <c r="O32" s="52"/>
      <c r="P32" s="52"/>
      <c r="Q32" s="52"/>
      <c r="R32" s="66"/>
      <c r="S32" s="53"/>
    </row>
    <row r="33" spans="1:19" ht="16.5" customHeight="1" x14ac:dyDescent="0.3">
      <c r="A33" s="46">
        <f>31</f>
        <v>31</v>
      </c>
      <c r="B33" s="40"/>
      <c r="C33" s="40"/>
      <c r="D33" s="40"/>
      <c r="E33" s="33"/>
      <c r="F33" s="33"/>
      <c r="G33" s="61" t="str">
        <f t="shared" si="0"/>
        <v/>
      </c>
      <c r="H33" s="33"/>
      <c r="I33" s="61" t="str">
        <f t="shared" si="1"/>
        <v/>
      </c>
      <c r="J33" s="62" t="str">
        <f>IF($I33="","",$I33*'⚙️ Settings'!$D$5)</f>
        <v/>
      </c>
      <c r="K33" s="62" t="str">
        <f>IF($I33="","",$I33*'⚙️ Settings'!$D$6)</f>
        <v/>
      </c>
      <c r="L33" s="62" t="str">
        <f>IF($I33="","",$I33*'⚙️ Settings'!$D$7)</f>
        <v/>
      </c>
      <c r="M33" s="62" t="str">
        <f>IF($I33="","",$I33*'⚙️ Settings'!$D$8)</f>
        <v/>
      </c>
      <c r="N33" s="62" t="str">
        <f>IF($I33="","",$I33*'⚙️ Settings'!$D$9)</f>
        <v/>
      </c>
      <c r="O33" s="47"/>
      <c r="P33" s="47"/>
      <c r="Q33" s="47"/>
      <c r="R33" s="63"/>
      <c r="S33" s="48"/>
    </row>
    <row r="34" spans="1:19" ht="16.5" customHeight="1" x14ac:dyDescent="0.3">
      <c r="A34" s="46">
        <f>32</f>
        <v>32</v>
      </c>
      <c r="B34" s="50"/>
      <c r="C34" s="50"/>
      <c r="D34" s="50"/>
      <c r="E34" s="51"/>
      <c r="F34" s="51"/>
      <c r="G34" s="64" t="str">
        <f t="shared" si="0"/>
        <v/>
      </c>
      <c r="H34" s="51"/>
      <c r="I34" s="64" t="str">
        <f t="shared" si="1"/>
        <v/>
      </c>
      <c r="J34" s="65" t="str">
        <f>IF($I34="","",$I34*'⚙️ Settings'!$D$5)</f>
        <v/>
      </c>
      <c r="K34" s="65" t="str">
        <f>IF($I34="","",$I34*'⚙️ Settings'!$D$6)</f>
        <v/>
      </c>
      <c r="L34" s="65" t="str">
        <f>IF($I34="","",$I34*'⚙️ Settings'!$D$7)</f>
        <v/>
      </c>
      <c r="M34" s="65" t="str">
        <f>IF($I34="","",$I34*'⚙️ Settings'!$D$8)</f>
        <v/>
      </c>
      <c r="N34" s="65" t="str">
        <f>IF($I34="","",$I34*'⚙️ Settings'!$D$9)</f>
        <v/>
      </c>
      <c r="O34" s="52"/>
      <c r="P34" s="52"/>
      <c r="Q34" s="52"/>
      <c r="R34" s="66"/>
      <c r="S34" s="53"/>
    </row>
    <row r="35" spans="1:19" ht="16.5" customHeight="1" x14ac:dyDescent="0.3">
      <c r="A35" s="46">
        <f>33</f>
        <v>33</v>
      </c>
      <c r="B35" s="40"/>
      <c r="C35" s="40"/>
      <c r="D35" s="40"/>
      <c r="E35" s="33"/>
      <c r="F35" s="33"/>
      <c r="G35" s="61" t="str">
        <f t="shared" ref="G35:G66" si="2">IF(E35="","",E35-F35)</f>
        <v/>
      </c>
      <c r="H35" s="33"/>
      <c r="I35" s="61" t="str">
        <f t="shared" ref="I35:I66" si="3">IF(F35="","",F35-IF(H35="",0,H35))</f>
        <v/>
      </c>
      <c r="J35" s="62" t="str">
        <f>IF($I35="","",$I35*'⚙️ Settings'!$D$5)</f>
        <v/>
      </c>
      <c r="K35" s="62" t="str">
        <f>IF($I35="","",$I35*'⚙️ Settings'!$D$6)</f>
        <v/>
      </c>
      <c r="L35" s="62" t="str">
        <f>IF($I35="","",$I35*'⚙️ Settings'!$D$7)</f>
        <v/>
      </c>
      <c r="M35" s="62" t="str">
        <f>IF($I35="","",$I35*'⚙️ Settings'!$D$8)</f>
        <v/>
      </c>
      <c r="N35" s="62" t="str">
        <f>IF($I35="","",$I35*'⚙️ Settings'!$D$9)</f>
        <v/>
      </c>
      <c r="O35" s="47"/>
      <c r="P35" s="47"/>
      <c r="Q35" s="47"/>
      <c r="R35" s="63"/>
      <c r="S35" s="48"/>
    </row>
    <row r="36" spans="1:19" ht="16.5" customHeight="1" x14ac:dyDescent="0.3">
      <c r="A36" s="46">
        <f>34</f>
        <v>34</v>
      </c>
      <c r="B36" s="50"/>
      <c r="C36" s="50"/>
      <c r="D36" s="50"/>
      <c r="E36" s="51"/>
      <c r="F36" s="51"/>
      <c r="G36" s="64" t="str">
        <f t="shared" si="2"/>
        <v/>
      </c>
      <c r="H36" s="51"/>
      <c r="I36" s="64" t="str">
        <f t="shared" si="3"/>
        <v/>
      </c>
      <c r="J36" s="65" t="str">
        <f>IF($I36="","",$I36*'⚙️ Settings'!$D$5)</f>
        <v/>
      </c>
      <c r="K36" s="65" t="str">
        <f>IF($I36="","",$I36*'⚙️ Settings'!$D$6)</f>
        <v/>
      </c>
      <c r="L36" s="65" t="str">
        <f>IF($I36="","",$I36*'⚙️ Settings'!$D$7)</f>
        <v/>
      </c>
      <c r="M36" s="65" t="str">
        <f>IF($I36="","",$I36*'⚙️ Settings'!$D$8)</f>
        <v/>
      </c>
      <c r="N36" s="65" t="str">
        <f>IF($I36="","",$I36*'⚙️ Settings'!$D$9)</f>
        <v/>
      </c>
      <c r="O36" s="52"/>
      <c r="P36" s="52"/>
      <c r="Q36" s="52"/>
      <c r="R36" s="66"/>
      <c r="S36" s="53"/>
    </row>
    <row r="37" spans="1:19" ht="16.5" customHeight="1" x14ac:dyDescent="0.3">
      <c r="A37" s="46">
        <f>35</f>
        <v>35</v>
      </c>
      <c r="B37" s="40"/>
      <c r="C37" s="40"/>
      <c r="D37" s="40"/>
      <c r="E37" s="33"/>
      <c r="F37" s="33"/>
      <c r="G37" s="61" t="str">
        <f t="shared" si="2"/>
        <v/>
      </c>
      <c r="H37" s="33"/>
      <c r="I37" s="61" t="str">
        <f t="shared" si="3"/>
        <v/>
      </c>
      <c r="J37" s="62" t="str">
        <f>IF($I37="","",$I37*'⚙️ Settings'!$D$5)</f>
        <v/>
      </c>
      <c r="K37" s="62" t="str">
        <f>IF($I37="","",$I37*'⚙️ Settings'!$D$6)</f>
        <v/>
      </c>
      <c r="L37" s="62" t="str">
        <f>IF($I37="","",$I37*'⚙️ Settings'!$D$7)</f>
        <v/>
      </c>
      <c r="M37" s="62" t="str">
        <f>IF($I37="","",$I37*'⚙️ Settings'!$D$8)</f>
        <v/>
      </c>
      <c r="N37" s="62" t="str">
        <f>IF($I37="","",$I37*'⚙️ Settings'!$D$9)</f>
        <v/>
      </c>
      <c r="O37" s="47"/>
      <c r="P37" s="47"/>
      <c r="Q37" s="47"/>
      <c r="R37" s="63"/>
      <c r="S37" s="48"/>
    </row>
    <row r="38" spans="1:19" ht="16.5" customHeight="1" x14ac:dyDescent="0.3">
      <c r="A38" s="46">
        <f>36</f>
        <v>36</v>
      </c>
      <c r="B38" s="50"/>
      <c r="C38" s="50"/>
      <c r="D38" s="50"/>
      <c r="E38" s="51"/>
      <c r="F38" s="51"/>
      <c r="G38" s="64" t="str">
        <f t="shared" si="2"/>
        <v/>
      </c>
      <c r="H38" s="51"/>
      <c r="I38" s="64" t="str">
        <f t="shared" si="3"/>
        <v/>
      </c>
      <c r="J38" s="65" t="str">
        <f>IF($I38="","",$I38*'⚙️ Settings'!$D$5)</f>
        <v/>
      </c>
      <c r="K38" s="65" t="str">
        <f>IF($I38="","",$I38*'⚙️ Settings'!$D$6)</f>
        <v/>
      </c>
      <c r="L38" s="65" t="str">
        <f>IF($I38="","",$I38*'⚙️ Settings'!$D$7)</f>
        <v/>
      </c>
      <c r="M38" s="65" t="str">
        <f>IF($I38="","",$I38*'⚙️ Settings'!$D$8)</f>
        <v/>
      </c>
      <c r="N38" s="65" t="str">
        <f>IF($I38="","",$I38*'⚙️ Settings'!$D$9)</f>
        <v/>
      </c>
      <c r="O38" s="52"/>
      <c r="P38" s="52"/>
      <c r="Q38" s="52"/>
      <c r="R38" s="66"/>
      <c r="S38" s="53"/>
    </row>
    <row r="39" spans="1:19" ht="16.5" customHeight="1" x14ac:dyDescent="0.3">
      <c r="A39" s="46">
        <f>37</f>
        <v>37</v>
      </c>
      <c r="B39" s="40"/>
      <c r="C39" s="40"/>
      <c r="D39" s="40"/>
      <c r="E39" s="33"/>
      <c r="F39" s="33"/>
      <c r="G39" s="61" t="str">
        <f t="shared" si="2"/>
        <v/>
      </c>
      <c r="H39" s="33"/>
      <c r="I39" s="61" t="str">
        <f t="shared" si="3"/>
        <v/>
      </c>
      <c r="J39" s="62" t="str">
        <f>IF($I39="","",$I39*'⚙️ Settings'!$D$5)</f>
        <v/>
      </c>
      <c r="K39" s="62" t="str">
        <f>IF($I39="","",$I39*'⚙️ Settings'!$D$6)</f>
        <v/>
      </c>
      <c r="L39" s="62" t="str">
        <f>IF($I39="","",$I39*'⚙️ Settings'!$D$7)</f>
        <v/>
      </c>
      <c r="M39" s="62" t="str">
        <f>IF($I39="","",$I39*'⚙️ Settings'!$D$8)</f>
        <v/>
      </c>
      <c r="N39" s="62" t="str">
        <f>IF($I39="","",$I39*'⚙️ Settings'!$D$9)</f>
        <v/>
      </c>
      <c r="O39" s="47"/>
      <c r="P39" s="47"/>
      <c r="Q39" s="47"/>
      <c r="R39" s="63"/>
      <c r="S39" s="48"/>
    </row>
    <row r="40" spans="1:19" ht="16.5" customHeight="1" x14ac:dyDescent="0.3">
      <c r="A40" s="46">
        <f>38</f>
        <v>38</v>
      </c>
      <c r="B40" s="50"/>
      <c r="C40" s="50"/>
      <c r="D40" s="50"/>
      <c r="E40" s="51"/>
      <c r="F40" s="51"/>
      <c r="G40" s="64" t="str">
        <f t="shared" si="2"/>
        <v/>
      </c>
      <c r="H40" s="51"/>
      <c r="I40" s="64" t="str">
        <f t="shared" si="3"/>
        <v/>
      </c>
      <c r="J40" s="65" t="str">
        <f>IF($I40="","",$I40*'⚙️ Settings'!$D$5)</f>
        <v/>
      </c>
      <c r="K40" s="65" t="str">
        <f>IF($I40="","",$I40*'⚙️ Settings'!$D$6)</f>
        <v/>
      </c>
      <c r="L40" s="65" t="str">
        <f>IF($I40="","",$I40*'⚙️ Settings'!$D$7)</f>
        <v/>
      </c>
      <c r="M40" s="65" t="str">
        <f>IF($I40="","",$I40*'⚙️ Settings'!$D$8)</f>
        <v/>
      </c>
      <c r="N40" s="65" t="str">
        <f>IF($I40="","",$I40*'⚙️ Settings'!$D$9)</f>
        <v/>
      </c>
      <c r="O40" s="52"/>
      <c r="P40" s="52"/>
      <c r="Q40" s="52"/>
      <c r="R40" s="66"/>
      <c r="S40" s="53"/>
    </row>
    <row r="41" spans="1:19" ht="16.5" customHeight="1" x14ac:dyDescent="0.3">
      <c r="A41" s="46">
        <f>39</f>
        <v>39</v>
      </c>
      <c r="B41" s="40"/>
      <c r="C41" s="40"/>
      <c r="D41" s="40"/>
      <c r="E41" s="33"/>
      <c r="F41" s="33"/>
      <c r="G41" s="61" t="str">
        <f t="shared" si="2"/>
        <v/>
      </c>
      <c r="H41" s="33"/>
      <c r="I41" s="61" t="str">
        <f t="shared" si="3"/>
        <v/>
      </c>
      <c r="J41" s="62" t="str">
        <f>IF($I41="","",$I41*'⚙️ Settings'!$D$5)</f>
        <v/>
      </c>
      <c r="K41" s="62" t="str">
        <f>IF($I41="","",$I41*'⚙️ Settings'!$D$6)</f>
        <v/>
      </c>
      <c r="L41" s="62" t="str">
        <f>IF($I41="","",$I41*'⚙️ Settings'!$D$7)</f>
        <v/>
      </c>
      <c r="M41" s="62" t="str">
        <f>IF($I41="","",$I41*'⚙️ Settings'!$D$8)</f>
        <v/>
      </c>
      <c r="N41" s="62" t="str">
        <f>IF($I41="","",$I41*'⚙️ Settings'!$D$9)</f>
        <v/>
      </c>
      <c r="O41" s="47"/>
      <c r="P41" s="47"/>
      <c r="Q41" s="47"/>
      <c r="R41" s="63"/>
      <c r="S41" s="48"/>
    </row>
    <row r="42" spans="1:19" ht="16.5" customHeight="1" x14ac:dyDescent="0.3">
      <c r="A42" s="46">
        <f>40</f>
        <v>40</v>
      </c>
      <c r="B42" s="50"/>
      <c r="C42" s="50"/>
      <c r="D42" s="50"/>
      <c r="E42" s="51"/>
      <c r="F42" s="51"/>
      <c r="G42" s="64" t="str">
        <f t="shared" si="2"/>
        <v/>
      </c>
      <c r="H42" s="51"/>
      <c r="I42" s="64" t="str">
        <f t="shared" si="3"/>
        <v/>
      </c>
      <c r="J42" s="65" t="str">
        <f>IF($I42="","",$I42*'⚙️ Settings'!$D$5)</f>
        <v/>
      </c>
      <c r="K42" s="65" t="str">
        <f>IF($I42="","",$I42*'⚙️ Settings'!$D$6)</f>
        <v/>
      </c>
      <c r="L42" s="65" t="str">
        <f>IF($I42="","",$I42*'⚙️ Settings'!$D$7)</f>
        <v/>
      </c>
      <c r="M42" s="65" t="str">
        <f>IF($I42="","",$I42*'⚙️ Settings'!$D$8)</f>
        <v/>
      </c>
      <c r="N42" s="65" t="str">
        <f>IF($I42="","",$I42*'⚙️ Settings'!$D$9)</f>
        <v/>
      </c>
      <c r="O42" s="52"/>
      <c r="P42" s="52"/>
      <c r="Q42" s="52"/>
      <c r="R42" s="66"/>
      <c r="S42" s="53"/>
    </row>
    <row r="43" spans="1:19" ht="16.5" customHeight="1" x14ac:dyDescent="0.3">
      <c r="A43" s="46">
        <f>41</f>
        <v>41</v>
      </c>
      <c r="B43" s="40"/>
      <c r="C43" s="40"/>
      <c r="D43" s="40"/>
      <c r="E43" s="33"/>
      <c r="F43" s="33"/>
      <c r="G43" s="61" t="str">
        <f t="shared" si="2"/>
        <v/>
      </c>
      <c r="H43" s="33"/>
      <c r="I43" s="61" t="str">
        <f t="shared" si="3"/>
        <v/>
      </c>
      <c r="J43" s="62" t="str">
        <f>IF($I43="","",$I43*'⚙️ Settings'!$D$5)</f>
        <v/>
      </c>
      <c r="K43" s="62" t="str">
        <f>IF($I43="","",$I43*'⚙️ Settings'!$D$6)</f>
        <v/>
      </c>
      <c r="L43" s="62" t="str">
        <f>IF($I43="","",$I43*'⚙️ Settings'!$D$7)</f>
        <v/>
      </c>
      <c r="M43" s="62" t="str">
        <f>IF($I43="","",$I43*'⚙️ Settings'!$D$8)</f>
        <v/>
      </c>
      <c r="N43" s="62" t="str">
        <f>IF($I43="","",$I43*'⚙️ Settings'!$D$9)</f>
        <v/>
      </c>
      <c r="O43" s="47"/>
      <c r="P43" s="47"/>
      <c r="Q43" s="47"/>
      <c r="R43" s="63"/>
      <c r="S43" s="48"/>
    </row>
    <row r="44" spans="1:19" ht="16.5" customHeight="1" x14ac:dyDescent="0.3">
      <c r="A44" s="46">
        <f>42</f>
        <v>42</v>
      </c>
      <c r="B44" s="50"/>
      <c r="C44" s="50"/>
      <c r="D44" s="50"/>
      <c r="E44" s="51"/>
      <c r="F44" s="51"/>
      <c r="G44" s="64" t="str">
        <f t="shared" si="2"/>
        <v/>
      </c>
      <c r="H44" s="51"/>
      <c r="I44" s="64" t="str">
        <f t="shared" si="3"/>
        <v/>
      </c>
      <c r="J44" s="65" t="str">
        <f>IF($I44="","",$I44*'⚙️ Settings'!$D$5)</f>
        <v/>
      </c>
      <c r="K44" s="65" t="str">
        <f>IF($I44="","",$I44*'⚙️ Settings'!$D$6)</f>
        <v/>
      </c>
      <c r="L44" s="65" t="str">
        <f>IF($I44="","",$I44*'⚙️ Settings'!$D$7)</f>
        <v/>
      </c>
      <c r="M44" s="65" t="str">
        <f>IF($I44="","",$I44*'⚙️ Settings'!$D$8)</f>
        <v/>
      </c>
      <c r="N44" s="65" t="str">
        <f>IF($I44="","",$I44*'⚙️ Settings'!$D$9)</f>
        <v/>
      </c>
      <c r="O44" s="52"/>
      <c r="P44" s="52"/>
      <c r="Q44" s="52"/>
      <c r="R44" s="66"/>
      <c r="S44" s="53"/>
    </row>
    <row r="45" spans="1:19" ht="16.5" customHeight="1" x14ac:dyDescent="0.3">
      <c r="A45" s="46">
        <f>43</f>
        <v>43</v>
      </c>
      <c r="B45" s="40"/>
      <c r="C45" s="40"/>
      <c r="D45" s="40"/>
      <c r="E45" s="33"/>
      <c r="F45" s="33"/>
      <c r="G45" s="61" t="str">
        <f t="shared" si="2"/>
        <v/>
      </c>
      <c r="H45" s="33"/>
      <c r="I45" s="61" t="str">
        <f t="shared" si="3"/>
        <v/>
      </c>
      <c r="J45" s="62" t="str">
        <f>IF($I45="","",$I45*'⚙️ Settings'!$D$5)</f>
        <v/>
      </c>
      <c r="K45" s="62" t="str">
        <f>IF($I45="","",$I45*'⚙️ Settings'!$D$6)</f>
        <v/>
      </c>
      <c r="L45" s="62" t="str">
        <f>IF($I45="","",$I45*'⚙️ Settings'!$D$7)</f>
        <v/>
      </c>
      <c r="M45" s="62" t="str">
        <f>IF($I45="","",$I45*'⚙️ Settings'!$D$8)</f>
        <v/>
      </c>
      <c r="N45" s="62" t="str">
        <f>IF($I45="","",$I45*'⚙️ Settings'!$D$9)</f>
        <v/>
      </c>
      <c r="O45" s="47"/>
      <c r="P45" s="47"/>
      <c r="Q45" s="47"/>
      <c r="R45" s="63"/>
      <c r="S45" s="48"/>
    </row>
    <row r="46" spans="1:19" ht="16.5" customHeight="1" x14ac:dyDescent="0.3">
      <c r="A46" s="46">
        <f>44</f>
        <v>44</v>
      </c>
      <c r="B46" s="50"/>
      <c r="C46" s="50"/>
      <c r="D46" s="50"/>
      <c r="E46" s="51"/>
      <c r="F46" s="51"/>
      <c r="G46" s="64" t="str">
        <f t="shared" si="2"/>
        <v/>
      </c>
      <c r="H46" s="51"/>
      <c r="I46" s="64" t="str">
        <f t="shared" si="3"/>
        <v/>
      </c>
      <c r="J46" s="65" t="str">
        <f>IF($I46="","",$I46*'⚙️ Settings'!$D$5)</f>
        <v/>
      </c>
      <c r="K46" s="65" t="str">
        <f>IF($I46="","",$I46*'⚙️ Settings'!$D$6)</f>
        <v/>
      </c>
      <c r="L46" s="65" t="str">
        <f>IF($I46="","",$I46*'⚙️ Settings'!$D$7)</f>
        <v/>
      </c>
      <c r="M46" s="65" t="str">
        <f>IF($I46="","",$I46*'⚙️ Settings'!$D$8)</f>
        <v/>
      </c>
      <c r="N46" s="65" t="str">
        <f>IF($I46="","",$I46*'⚙️ Settings'!$D$9)</f>
        <v/>
      </c>
      <c r="O46" s="52"/>
      <c r="P46" s="52"/>
      <c r="Q46" s="52"/>
      <c r="R46" s="66"/>
      <c r="S46" s="53"/>
    </row>
    <row r="47" spans="1:19" ht="16.5" customHeight="1" x14ac:dyDescent="0.3">
      <c r="A47" s="46">
        <f>45</f>
        <v>45</v>
      </c>
      <c r="B47" s="40"/>
      <c r="C47" s="40"/>
      <c r="D47" s="40"/>
      <c r="E47" s="33"/>
      <c r="F47" s="33"/>
      <c r="G47" s="61" t="str">
        <f t="shared" si="2"/>
        <v/>
      </c>
      <c r="H47" s="33"/>
      <c r="I47" s="61" t="str">
        <f t="shared" si="3"/>
        <v/>
      </c>
      <c r="J47" s="62" t="str">
        <f>IF($I47="","",$I47*'⚙️ Settings'!$D$5)</f>
        <v/>
      </c>
      <c r="K47" s="62" t="str">
        <f>IF($I47="","",$I47*'⚙️ Settings'!$D$6)</f>
        <v/>
      </c>
      <c r="L47" s="62" t="str">
        <f>IF($I47="","",$I47*'⚙️ Settings'!$D$7)</f>
        <v/>
      </c>
      <c r="M47" s="62" t="str">
        <f>IF($I47="","",$I47*'⚙️ Settings'!$D$8)</f>
        <v/>
      </c>
      <c r="N47" s="62" t="str">
        <f>IF($I47="","",$I47*'⚙️ Settings'!$D$9)</f>
        <v/>
      </c>
      <c r="O47" s="47"/>
      <c r="P47" s="47"/>
      <c r="Q47" s="47"/>
      <c r="R47" s="63"/>
      <c r="S47" s="48"/>
    </row>
    <row r="48" spans="1:19" ht="16.5" customHeight="1" x14ac:dyDescent="0.3">
      <c r="A48" s="46">
        <f>46</f>
        <v>46</v>
      </c>
      <c r="B48" s="50"/>
      <c r="C48" s="50"/>
      <c r="D48" s="50"/>
      <c r="E48" s="51"/>
      <c r="F48" s="51"/>
      <c r="G48" s="64" t="str">
        <f t="shared" si="2"/>
        <v/>
      </c>
      <c r="H48" s="51"/>
      <c r="I48" s="64" t="str">
        <f t="shared" si="3"/>
        <v/>
      </c>
      <c r="J48" s="65" t="str">
        <f>IF($I48="","",$I48*'⚙️ Settings'!$D$5)</f>
        <v/>
      </c>
      <c r="K48" s="65" t="str">
        <f>IF($I48="","",$I48*'⚙️ Settings'!$D$6)</f>
        <v/>
      </c>
      <c r="L48" s="65" t="str">
        <f>IF($I48="","",$I48*'⚙️ Settings'!$D$7)</f>
        <v/>
      </c>
      <c r="M48" s="65" t="str">
        <f>IF($I48="","",$I48*'⚙️ Settings'!$D$8)</f>
        <v/>
      </c>
      <c r="N48" s="65" t="str">
        <f>IF($I48="","",$I48*'⚙️ Settings'!$D$9)</f>
        <v/>
      </c>
      <c r="O48" s="52"/>
      <c r="P48" s="52"/>
      <c r="Q48" s="52"/>
      <c r="R48" s="66"/>
      <c r="S48" s="53"/>
    </row>
    <row r="49" spans="1:19" ht="16.5" customHeight="1" x14ac:dyDescent="0.3">
      <c r="A49" s="46">
        <f>47</f>
        <v>47</v>
      </c>
      <c r="B49" s="40"/>
      <c r="C49" s="40"/>
      <c r="D49" s="40"/>
      <c r="E49" s="33"/>
      <c r="F49" s="33"/>
      <c r="G49" s="61" t="str">
        <f t="shared" si="2"/>
        <v/>
      </c>
      <c r="H49" s="33"/>
      <c r="I49" s="61" t="str">
        <f t="shared" si="3"/>
        <v/>
      </c>
      <c r="J49" s="62" t="str">
        <f>IF($I49="","",$I49*'⚙️ Settings'!$D$5)</f>
        <v/>
      </c>
      <c r="K49" s="62" t="str">
        <f>IF($I49="","",$I49*'⚙️ Settings'!$D$6)</f>
        <v/>
      </c>
      <c r="L49" s="62" t="str">
        <f>IF($I49="","",$I49*'⚙️ Settings'!$D$7)</f>
        <v/>
      </c>
      <c r="M49" s="62" t="str">
        <f>IF($I49="","",$I49*'⚙️ Settings'!$D$8)</f>
        <v/>
      </c>
      <c r="N49" s="62" t="str">
        <f>IF($I49="","",$I49*'⚙️ Settings'!$D$9)</f>
        <v/>
      </c>
      <c r="O49" s="47"/>
      <c r="P49" s="47"/>
      <c r="Q49" s="47"/>
      <c r="R49" s="63"/>
      <c r="S49" s="48"/>
    </row>
    <row r="50" spans="1:19" ht="16.5" customHeight="1" x14ac:dyDescent="0.3">
      <c r="A50" s="46">
        <f>48</f>
        <v>48</v>
      </c>
      <c r="B50" s="50"/>
      <c r="C50" s="50"/>
      <c r="D50" s="50"/>
      <c r="E50" s="51"/>
      <c r="F50" s="51"/>
      <c r="G50" s="64" t="str">
        <f t="shared" si="2"/>
        <v/>
      </c>
      <c r="H50" s="51"/>
      <c r="I50" s="64" t="str">
        <f t="shared" si="3"/>
        <v/>
      </c>
      <c r="J50" s="65" t="str">
        <f>IF($I50="","",$I50*'⚙️ Settings'!$D$5)</f>
        <v/>
      </c>
      <c r="K50" s="65" t="str">
        <f>IF($I50="","",$I50*'⚙️ Settings'!$D$6)</f>
        <v/>
      </c>
      <c r="L50" s="65" t="str">
        <f>IF($I50="","",$I50*'⚙️ Settings'!$D$7)</f>
        <v/>
      </c>
      <c r="M50" s="65" t="str">
        <f>IF($I50="","",$I50*'⚙️ Settings'!$D$8)</f>
        <v/>
      </c>
      <c r="N50" s="65" t="str">
        <f>IF($I50="","",$I50*'⚙️ Settings'!$D$9)</f>
        <v/>
      </c>
      <c r="O50" s="52"/>
      <c r="P50" s="52"/>
      <c r="Q50" s="52"/>
      <c r="R50" s="66"/>
      <c r="S50" s="53"/>
    </row>
    <row r="51" spans="1:19" ht="16.5" customHeight="1" x14ac:dyDescent="0.3">
      <c r="A51" s="46">
        <f>49</f>
        <v>49</v>
      </c>
      <c r="B51" s="40"/>
      <c r="C51" s="40"/>
      <c r="D51" s="40"/>
      <c r="E51" s="33"/>
      <c r="F51" s="33"/>
      <c r="G51" s="61" t="str">
        <f t="shared" si="2"/>
        <v/>
      </c>
      <c r="H51" s="33"/>
      <c r="I51" s="61" t="str">
        <f t="shared" si="3"/>
        <v/>
      </c>
      <c r="J51" s="62" t="str">
        <f>IF($I51="","",$I51*'⚙️ Settings'!$D$5)</f>
        <v/>
      </c>
      <c r="K51" s="62" t="str">
        <f>IF($I51="","",$I51*'⚙️ Settings'!$D$6)</f>
        <v/>
      </c>
      <c r="L51" s="62" t="str">
        <f>IF($I51="","",$I51*'⚙️ Settings'!$D$7)</f>
        <v/>
      </c>
      <c r="M51" s="62" t="str">
        <f>IF($I51="","",$I51*'⚙️ Settings'!$D$8)</f>
        <v/>
      </c>
      <c r="N51" s="62" t="str">
        <f>IF($I51="","",$I51*'⚙️ Settings'!$D$9)</f>
        <v/>
      </c>
      <c r="O51" s="47"/>
      <c r="P51" s="47"/>
      <c r="Q51" s="47"/>
      <c r="R51" s="63"/>
      <c r="S51" s="48"/>
    </row>
    <row r="52" spans="1:19" ht="16.5" customHeight="1" x14ac:dyDescent="0.3">
      <c r="A52" s="46">
        <f>50</f>
        <v>50</v>
      </c>
      <c r="B52" s="50"/>
      <c r="C52" s="50"/>
      <c r="D52" s="50"/>
      <c r="E52" s="51"/>
      <c r="F52" s="51"/>
      <c r="G52" s="64" t="str">
        <f t="shared" si="2"/>
        <v/>
      </c>
      <c r="H52" s="51"/>
      <c r="I52" s="64" t="str">
        <f t="shared" si="3"/>
        <v/>
      </c>
      <c r="J52" s="65" t="str">
        <f>IF($I52="","",$I52*'⚙️ Settings'!$D$5)</f>
        <v/>
      </c>
      <c r="K52" s="65" t="str">
        <f>IF($I52="","",$I52*'⚙️ Settings'!$D$6)</f>
        <v/>
      </c>
      <c r="L52" s="65" t="str">
        <f>IF($I52="","",$I52*'⚙️ Settings'!$D$7)</f>
        <v/>
      </c>
      <c r="M52" s="65" t="str">
        <f>IF($I52="","",$I52*'⚙️ Settings'!$D$8)</f>
        <v/>
      </c>
      <c r="N52" s="65" t="str">
        <f>IF($I52="","",$I52*'⚙️ Settings'!$D$9)</f>
        <v/>
      </c>
      <c r="O52" s="52"/>
      <c r="P52" s="52"/>
      <c r="Q52" s="52"/>
      <c r="R52" s="66"/>
      <c r="S52" s="53"/>
    </row>
    <row r="53" spans="1:19" ht="19.5" customHeight="1" x14ac:dyDescent="0.3">
      <c r="A53" s="54" t="s">
        <v>69</v>
      </c>
      <c r="B53" s="56"/>
      <c r="C53" s="56"/>
      <c r="D53" s="56"/>
      <c r="E53" s="55">
        <f>SUMIF(B3:B52,"?*",E3:E52)</f>
        <v>285000</v>
      </c>
      <c r="F53" s="55">
        <f>SUMIF(B3:B52,"?*",F3:F52)</f>
        <v>160000</v>
      </c>
      <c r="G53" s="55">
        <f>SUMIF(B3:B52,"?*",G3:G52)</f>
        <v>125000</v>
      </c>
      <c r="H53" s="55">
        <f>SUMIF(B3:B52,"?*",H3:H52)</f>
        <v>0</v>
      </c>
      <c r="I53" s="55">
        <f>SUMIF(B3:B52,"?*",I3:I52)</f>
        <v>160000</v>
      </c>
      <c r="J53" s="55">
        <f>SUMIF(B3:B52,"?*",J3:J52)</f>
        <v>80000</v>
      </c>
      <c r="K53" s="55">
        <f>SUMIF(B3:B52,"?*",K3:K52)</f>
        <v>16000</v>
      </c>
      <c r="L53" s="55">
        <f>SUMIF(B3:B52,"?*",L3:L52)</f>
        <v>24000</v>
      </c>
      <c r="M53" s="55">
        <f>SUMIF(B3:B52,"?*",M3:M52)</f>
        <v>32000</v>
      </c>
      <c r="N53" s="55">
        <f>SUMIF(B3:B52,"?*",N3:N52)</f>
        <v>8000</v>
      </c>
      <c r="O53" s="56"/>
      <c r="P53" s="56"/>
      <c r="Q53" s="56"/>
      <c r="R53" s="56"/>
      <c r="S53" s="56"/>
    </row>
  </sheetData>
  <mergeCells count="1">
    <mergeCell ref="A1:S1"/>
  </mergeCells>
  <dataValidations count="2">
    <dataValidation type="list" allowBlank="1" sqref="D3:D52" xr:uid="{00000000-0002-0000-0200-000000000000}">
      <formula1>"Website,Web App,Custom Software,Android App,Other"</formula1>
      <formula2>0</formula2>
    </dataValidation>
    <dataValidation type="list" allowBlank="1" sqref="R3:R52" xr:uid="{00000000-0002-0000-0200-000001000000}">
      <formula1>"In Progress,Delivered,Completed &amp; Paid,On Hold,Cancelled"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84C"/>
  </sheetPr>
  <dimension ref="B1:I39"/>
  <sheetViews>
    <sheetView showGridLines="0" zoomScaleNormal="100" workbookViewId="0">
      <selection activeCell="D7" sqref="D7"/>
    </sheetView>
  </sheetViews>
  <sheetFormatPr defaultColWidth="8.6640625" defaultRowHeight="14.4" x14ac:dyDescent="0.3"/>
  <cols>
    <col min="1" max="1" width="2" customWidth="1"/>
    <col min="2" max="2" width="26" customWidth="1"/>
    <col min="3" max="4" width="18" customWidth="1"/>
    <col min="5" max="5" width="16" customWidth="1"/>
    <col min="6" max="6" width="14" customWidth="1"/>
    <col min="7" max="7" width="2" customWidth="1"/>
    <col min="8" max="9" width="11" customWidth="1"/>
  </cols>
  <sheetData>
    <row r="1" spans="2:9" ht="21.75" customHeight="1" x14ac:dyDescent="0.3">
      <c r="B1" s="14" t="s">
        <v>107</v>
      </c>
      <c r="C1" s="14"/>
      <c r="D1" s="14"/>
      <c r="E1" s="14"/>
      <c r="F1" s="14"/>
    </row>
    <row r="2" spans="2:9" ht="18" customHeight="1" x14ac:dyDescent="0.3">
      <c r="B2" s="67" t="s">
        <v>2</v>
      </c>
      <c r="C2" s="67" t="s">
        <v>108</v>
      </c>
      <c r="D2" s="67" t="s">
        <v>109</v>
      </c>
      <c r="E2" s="67" t="s">
        <v>110</v>
      </c>
      <c r="F2" s="67" t="s">
        <v>111</v>
      </c>
    </row>
    <row r="3" spans="2:9" ht="36" customHeight="1" x14ac:dyDescent="0.3">
      <c r="B3" s="68" t="s">
        <v>5</v>
      </c>
      <c r="C3" s="69">
        <f>'⚙️ Settings'!C5</f>
        <v>250000</v>
      </c>
      <c r="D3" s="70">
        <f>F11</f>
        <v>55000</v>
      </c>
      <c r="E3" s="71">
        <f>IF(C3=0,0,C3-D3)</f>
        <v>195000</v>
      </c>
      <c r="F3" s="72" t="str">
        <f>IF(C3=0,"-",TEXT(MIN(D3/C3,1),"0.0%"))</f>
        <v>22.0%</v>
      </c>
    </row>
    <row r="4" spans="2:9" ht="36" customHeight="1" x14ac:dyDescent="0.3">
      <c r="B4" s="73" t="s">
        <v>6</v>
      </c>
      <c r="C4" s="74">
        <f>'⚙️ Settings'!C6</f>
        <v>50000</v>
      </c>
      <c r="D4" s="75">
        <f>F12</f>
        <v>21000</v>
      </c>
      <c r="E4" s="76">
        <f>IF(C4=0,0,C4-D4)</f>
        <v>29000</v>
      </c>
      <c r="F4" s="77" t="str">
        <f>IF(C4=0,"-",TEXT(MIN(D4/C4,1),"0.0%"))</f>
        <v>42.0%</v>
      </c>
    </row>
    <row r="5" spans="2:9" ht="36" customHeight="1" x14ac:dyDescent="0.3">
      <c r="B5" s="78" t="s">
        <v>7</v>
      </c>
      <c r="C5" s="79">
        <f>'⚙️ Settings'!C7</f>
        <v>75000</v>
      </c>
      <c r="D5" s="80">
        <f>F13</f>
        <v>32000</v>
      </c>
      <c r="E5" s="81">
        <f>IF(C5=0,0,C5-D5)</f>
        <v>43000</v>
      </c>
      <c r="F5" s="82" t="str">
        <f>IF(C5=0,"-",TEXT(MIN(D5/C5,1),"0.0%"))</f>
        <v>42.7%</v>
      </c>
    </row>
    <row r="6" spans="2:9" ht="18" customHeight="1" x14ac:dyDescent="0.3">
      <c r="B6" s="83" t="s">
        <v>8</v>
      </c>
      <c r="C6" s="84">
        <f>'⚙️ Settings'!C8</f>
        <v>100000</v>
      </c>
      <c r="D6" s="85">
        <f>F14</f>
        <v>30000</v>
      </c>
      <c r="E6" s="86">
        <f>IF(C6=0,0,C6-D6)</f>
        <v>70000</v>
      </c>
      <c r="F6" s="87" t="str">
        <f>IF(C6=0,"-",TEXT(MIN(D6/C6,1),"0.0%"))</f>
        <v>30.0%</v>
      </c>
    </row>
    <row r="7" spans="2:9" ht="18" customHeight="1" x14ac:dyDescent="0.3">
      <c r="B7" s="88" t="s">
        <v>9</v>
      </c>
      <c r="C7" s="89">
        <f>'⚙️ Settings'!C9</f>
        <v>25000</v>
      </c>
      <c r="D7" s="90">
        <f>F15</f>
        <v>15000</v>
      </c>
      <c r="E7" s="91">
        <f>IF(C7=0,0,C7-D7)</f>
        <v>10000</v>
      </c>
      <c r="F7" s="92" t="str">
        <f>IF(C7=0,"-",TEXT(MIN(D7/C7,1),"0.0%"))</f>
        <v>60.0%</v>
      </c>
    </row>
    <row r="8" spans="2:9" ht="21.75" customHeight="1" x14ac:dyDescent="0.3">
      <c r="B8" s="93"/>
    </row>
    <row r="9" spans="2:9" ht="18" customHeight="1" x14ac:dyDescent="0.3">
      <c r="B9" s="4" t="s">
        <v>112</v>
      </c>
      <c r="C9" s="4"/>
      <c r="D9" s="4"/>
      <c r="E9" s="4"/>
      <c r="F9" s="4"/>
      <c r="H9" s="94" t="s">
        <v>113</v>
      </c>
    </row>
    <row r="10" spans="2:9" ht="27.75" customHeight="1" x14ac:dyDescent="0.3">
      <c r="B10" s="67" t="s">
        <v>2</v>
      </c>
      <c r="C10" s="95" t="s">
        <v>114</v>
      </c>
      <c r="D10" s="95" t="s">
        <v>115</v>
      </c>
      <c r="E10" s="95" t="s">
        <v>116</v>
      </c>
      <c r="F10" s="96" t="s">
        <v>109</v>
      </c>
      <c r="H10" s="94" t="s">
        <v>117</v>
      </c>
      <c r="I10" s="94" t="s">
        <v>118</v>
      </c>
    </row>
    <row r="11" spans="2:9" ht="18" customHeight="1" x14ac:dyDescent="0.3">
      <c r="B11" s="97" t="s">
        <v>5</v>
      </c>
      <c r="C11" s="23">
        <v>20000</v>
      </c>
      <c r="D11" s="98">
        <f>SUMIF('📋 Projects'!$B$3:$B$52,"?*",'📋 Projects'!J3:J52)-H11</f>
        <v>80000</v>
      </c>
      <c r="E11" s="98">
        <f>SUMIF('💸 Expense Log'!$C$3:$C$102,B11,'💸 Expense Log'!$E$3:$E$102)-I11</f>
        <v>45000</v>
      </c>
      <c r="F11" s="99">
        <f>C11+D11-E11</f>
        <v>55000</v>
      </c>
      <c r="H11" s="100">
        <v>0</v>
      </c>
      <c r="I11" s="100">
        <v>0</v>
      </c>
    </row>
    <row r="12" spans="2:9" ht="27.75" customHeight="1" x14ac:dyDescent="0.3">
      <c r="B12" s="101" t="s">
        <v>6</v>
      </c>
      <c r="C12" s="23">
        <v>5000</v>
      </c>
      <c r="D12" s="98">
        <f>SUMIF('📋 Projects'!$B$3:$B$52,"?*",'📋 Projects'!K3:K52)-H12</f>
        <v>16000</v>
      </c>
      <c r="E12" s="98">
        <f>SUMIF('💸 Expense Log'!$C$3:$C$102,B12,'💸 Expense Log'!$E$3:$E$102)-I12</f>
        <v>0</v>
      </c>
      <c r="F12" s="102">
        <f>C12+D12-E12</f>
        <v>21000</v>
      </c>
      <c r="H12" s="100">
        <v>0</v>
      </c>
      <c r="I12" s="100">
        <v>0</v>
      </c>
    </row>
    <row r="13" spans="2:9" ht="18" customHeight="1" x14ac:dyDescent="0.3">
      <c r="B13" s="103" t="s">
        <v>7</v>
      </c>
      <c r="C13" s="23">
        <v>10000</v>
      </c>
      <c r="D13" s="98">
        <f>SUMIF('📋 Projects'!$B$3:$B$52,"?*",'📋 Projects'!L3:L52)-H13</f>
        <v>24000</v>
      </c>
      <c r="E13" s="98">
        <f>SUMIF('💸 Expense Log'!$C$3:$C$102,B13,'💸 Expense Log'!$E$3:$E$102)-I13</f>
        <v>2000</v>
      </c>
      <c r="F13" s="104">
        <f>C13+D13-E13</f>
        <v>32000</v>
      </c>
      <c r="H13" s="100">
        <v>0</v>
      </c>
      <c r="I13" s="100">
        <v>0</v>
      </c>
    </row>
    <row r="14" spans="2:9" ht="18" customHeight="1" x14ac:dyDescent="0.3">
      <c r="B14" s="105" t="s">
        <v>8</v>
      </c>
      <c r="C14" s="23">
        <v>8000</v>
      </c>
      <c r="D14" s="98">
        <f>SUMIF('📋 Projects'!$B$3:$B$52,"?*",'📋 Projects'!M3:M52)-H14</f>
        <v>32000</v>
      </c>
      <c r="E14" s="98">
        <f>SUMIF('💸 Expense Log'!$C$3:$C$102,B14,'💸 Expense Log'!$E$3:$E$102)-I14</f>
        <v>10000</v>
      </c>
      <c r="F14" s="106">
        <f>C14+D14-E14</f>
        <v>30000</v>
      </c>
      <c r="H14" s="100">
        <v>0</v>
      </c>
      <c r="I14" s="100">
        <v>0</v>
      </c>
    </row>
    <row r="15" spans="2:9" ht="18" customHeight="1" x14ac:dyDescent="0.3">
      <c r="B15" s="107" t="s">
        <v>9</v>
      </c>
      <c r="C15" s="23">
        <v>12000</v>
      </c>
      <c r="D15" s="98">
        <f>SUMIF('📋 Projects'!$B$3:$B$52,"?*",'📋 Projects'!N3:N52)-H15</f>
        <v>8000</v>
      </c>
      <c r="E15" s="98">
        <f>SUMIF('💸 Expense Log'!$C$3:$C$102,B15,'💸 Expense Log'!$E$3:$E$102)-I15</f>
        <v>5000</v>
      </c>
      <c r="F15" s="108">
        <f>C15+D15-E15</f>
        <v>15000</v>
      </c>
      <c r="H15" s="100">
        <v>0</v>
      </c>
      <c r="I15" s="100">
        <v>0</v>
      </c>
    </row>
    <row r="16" spans="2:9" ht="18" customHeight="1" x14ac:dyDescent="0.3"/>
    <row r="17" spans="2:6" ht="18" customHeight="1" x14ac:dyDescent="0.3">
      <c r="B17" s="3" t="s">
        <v>119</v>
      </c>
      <c r="C17" s="3"/>
      <c r="D17" s="3"/>
      <c r="E17" s="3"/>
      <c r="F17" s="3"/>
    </row>
    <row r="18" spans="2:6" ht="18" customHeight="1" x14ac:dyDescent="0.3">
      <c r="B18" s="67" t="s">
        <v>12</v>
      </c>
      <c r="C18" s="67" t="s">
        <v>108</v>
      </c>
      <c r="D18" s="67" t="s">
        <v>120</v>
      </c>
      <c r="E18" s="67" t="s">
        <v>110</v>
      </c>
      <c r="F18" s="67" t="s">
        <v>121</v>
      </c>
    </row>
    <row r="19" spans="2:6" ht="18" customHeight="1" x14ac:dyDescent="0.3">
      <c r="B19" s="97" t="s">
        <v>122</v>
      </c>
      <c r="C19" s="98">
        <f>'⚙️ Settings'!C14</f>
        <v>500000</v>
      </c>
      <c r="D19" s="98">
        <f ca="1">SUMPRODUCT(('📋 Projects'!F3:F52)*(ISNUMBER('📋 Projects'!O3:O52))*(MONTH('📋 Projects'!O3:O52)=MONTH(TODAY()))*(YEAR('📋 Projects'!O3:O52)=YEAR(TODAY())))</f>
        <v>160000</v>
      </c>
      <c r="E19" s="109">
        <f ca="1">IF(C19=0,0,C19-D19)</f>
        <v>340000</v>
      </c>
      <c r="F19" s="110">
        <f ca="1">IF('⚙️ Settings'!C15="","-",MAX(0,'⚙️ Settings'!C15-TODAY()))</f>
        <v>23</v>
      </c>
    </row>
    <row r="20" spans="2:6" ht="18" customHeight="1" x14ac:dyDescent="0.3"/>
    <row r="21" spans="2:6" ht="18" customHeight="1" x14ac:dyDescent="0.3">
      <c r="B21" s="2" t="s">
        <v>123</v>
      </c>
      <c r="C21" s="2"/>
      <c r="D21" s="2"/>
      <c r="E21" s="2"/>
      <c r="F21" s="2"/>
    </row>
    <row r="22" spans="2:6" ht="18" customHeight="1" x14ac:dyDescent="0.3"/>
    <row r="23" spans="2:6" ht="18" customHeight="1" x14ac:dyDescent="0.3"/>
    <row r="24" spans="2:6" ht="18" customHeight="1" x14ac:dyDescent="0.3"/>
    <row r="25" spans="2:6" ht="18" customHeight="1" x14ac:dyDescent="0.3"/>
    <row r="26" spans="2:6" ht="18" customHeight="1" x14ac:dyDescent="0.3"/>
    <row r="27" spans="2:6" ht="18" customHeight="1" x14ac:dyDescent="0.3"/>
    <row r="28" spans="2:6" ht="18" customHeight="1" x14ac:dyDescent="0.3"/>
    <row r="29" spans="2:6" ht="18" customHeight="1" x14ac:dyDescent="0.3"/>
    <row r="30" spans="2:6" ht="14.25" customHeight="1" x14ac:dyDescent="0.3"/>
    <row r="31" spans="2:6" ht="14.25" customHeight="1" x14ac:dyDescent="0.3"/>
    <row r="32" spans="2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</sheetData>
  <mergeCells count="4">
    <mergeCell ref="B1:F1"/>
    <mergeCell ref="B9:F9"/>
    <mergeCell ref="B17:F17"/>
    <mergeCell ref="B21:F2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85A30"/>
  </sheetPr>
  <dimension ref="A1:I33"/>
  <sheetViews>
    <sheetView showGridLines="0" zoomScaleNormal="100" workbookViewId="0">
      <pane ySplit="2" topLeftCell="A3" activePane="bottomLeft" state="frozen"/>
      <selection pane="bottomLeft" activeCell="D5" sqref="D5"/>
    </sheetView>
  </sheetViews>
  <sheetFormatPr defaultColWidth="8.6640625" defaultRowHeight="14.4" x14ac:dyDescent="0.3"/>
  <cols>
    <col min="1" max="1" width="3" customWidth="1"/>
    <col min="2" max="3" width="22" customWidth="1"/>
    <col min="4" max="6" width="16" customWidth="1"/>
    <col min="7" max="7" width="14" customWidth="1"/>
    <col min="8" max="8" width="16" customWidth="1"/>
    <col min="9" max="9" width="26" customWidth="1"/>
  </cols>
  <sheetData>
    <row r="1" spans="1:9" ht="21.75" customHeight="1" x14ac:dyDescent="0.3">
      <c r="A1" s="14" t="s">
        <v>124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57" t="s">
        <v>29</v>
      </c>
      <c r="B2" s="57" t="s">
        <v>125</v>
      </c>
      <c r="C2" s="57" t="s">
        <v>126</v>
      </c>
      <c r="D2" s="57" t="s">
        <v>127</v>
      </c>
      <c r="E2" s="57" t="s">
        <v>128</v>
      </c>
      <c r="F2" s="57" t="s">
        <v>129</v>
      </c>
      <c r="G2" s="57" t="s">
        <v>90</v>
      </c>
      <c r="H2" s="57" t="s">
        <v>130</v>
      </c>
      <c r="I2" s="57" t="s">
        <v>91</v>
      </c>
    </row>
    <row r="3" spans="1:9" ht="16.5" customHeight="1" x14ac:dyDescent="0.3">
      <c r="A3" s="46">
        <f>1</f>
        <v>1</v>
      </c>
      <c r="B3" s="40" t="s">
        <v>131</v>
      </c>
      <c r="C3" s="40" t="s">
        <v>132</v>
      </c>
      <c r="D3" s="33">
        <v>8000</v>
      </c>
      <c r="E3" s="33"/>
      <c r="F3" s="61">
        <f t="shared" ref="F3:F32" si="0">IF(D3="","",D3-IF(E3="",0,E3))</f>
        <v>8000</v>
      </c>
      <c r="G3" s="111" t="str">
        <f t="shared" ref="G3:G32" si="1">IF(D3="","",IF(E3=D3,"Cleared",IF(E3&gt;0,"Partially Paid","Pending")))</f>
        <v>Pending</v>
      </c>
      <c r="H3" s="47"/>
      <c r="I3" s="48"/>
    </row>
    <row r="4" spans="1:9" ht="16.5" customHeight="1" x14ac:dyDescent="0.3">
      <c r="A4" s="46">
        <f>2</f>
        <v>2</v>
      </c>
      <c r="B4" s="50" t="s">
        <v>133</v>
      </c>
      <c r="C4" s="50" t="s">
        <v>134</v>
      </c>
      <c r="D4" s="51">
        <v>3000</v>
      </c>
      <c r="E4" s="51"/>
      <c r="F4" s="64">
        <f t="shared" si="0"/>
        <v>3000</v>
      </c>
      <c r="G4" s="112" t="str">
        <f t="shared" si="1"/>
        <v>Pending</v>
      </c>
      <c r="H4" s="52"/>
      <c r="I4" s="53"/>
    </row>
    <row r="5" spans="1:9" ht="16.5" customHeight="1" x14ac:dyDescent="0.3">
      <c r="A5" s="46">
        <f>3</f>
        <v>3</v>
      </c>
      <c r="B5" s="40" t="s">
        <v>135</v>
      </c>
      <c r="C5" s="40" t="s">
        <v>136</v>
      </c>
      <c r="D5" s="33">
        <v>12000</v>
      </c>
      <c r="E5" s="33"/>
      <c r="F5" s="61">
        <f t="shared" si="0"/>
        <v>12000</v>
      </c>
      <c r="G5" s="111" t="str">
        <f t="shared" si="1"/>
        <v>Pending</v>
      </c>
      <c r="H5" s="47"/>
      <c r="I5" s="48"/>
    </row>
    <row r="6" spans="1:9" ht="16.5" customHeight="1" x14ac:dyDescent="0.3">
      <c r="A6" s="46">
        <f>4</f>
        <v>4</v>
      </c>
      <c r="B6" s="50"/>
      <c r="C6" s="50"/>
      <c r="D6" s="51"/>
      <c r="E6" s="51"/>
      <c r="F6" s="64" t="str">
        <f t="shared" si="0"/>
        <v/>
      </c>
      <c r="G6" s="112" t="str">
        <f t="shared" si="1"/>
        <v/>
      </c>
      <c r="H6" s="52"/>
      <c r="I6" s="53"/>
    </row>
    <row r="7" spans="1:9" ht="16.5" customHeight="1" x14ac:dyDescent="0.3">
      <c r="A7" s="46">
        <f>5</f>
        <v>5</v>
      </c>
      <c r="B7" s="40"/>
      <c r="C7" s="40"/>
      <c r="D7" s="33"/>
      <c r="E7" s="33"/>
      <c r="F7" s="61" t="str">
        <f t="shared" si="0"/>
        <v/>
      </c>
      <c r="G7" s="111" t="str">
        <f t="shared" si="1"/>
        <v/>
      </c>
      <c r="H7" s="47"/>
      <c r="I7" s="48"/>
    </row>
    <row r="8" spans="1:9" ht="16.5" customHeight="1" x14ac:dyDescent="0.3">
      <c r="A8" s="46">
        <f>6</f>
        <v>6</v>
      </c>
      <c r="B8" s="50"/>
      <c r="C8" s="50"/>
      <c r="D8" s="51"/>
      <c r="E8" s="51"/>
      <c r="F8" s="64" t="str">
        <f t="shared" si="0"/>
        <v/>
      </c>
      <c r="G8" s="112" t="str">
        <f t="shared" si="1"/>
        <v/>
      </c>
      <c r="H8" s="52"/>
      <c r="I8" s="53"/>
    </row>
    <row r="9" spans="1:9" ht="16.5" customHeight="1" x14ac:dyDescent="0.3">
      <c r="A9" s="46">
        <f>7</f>
        <v>7</v>
      </c>
      <c r="B9" s="40"/>
      <c r="C9" s="40"/>
      <c r="D9" s="33"/>
      <c r="E9" s="33"/>
      <c r="F9" s="61" t="str">
        <f t="shared" si="0"/>
        <v/>
      </c>
      <c r="G9" s="111" t="str">
        <f t="shared" si="1"/>
        <v/>
      </c>
      <c r="H9" s="47"/>
      <c r="I9" s="48"/>
    </row>
    <row r="10" spans="1:9" ht="16.5" customHeight="1" x14ac:dyDescent="0.3">
      <c r="A10" s="46">
        <f>8</f>
        <v>8</v>
      </c>
      <c r="B10" s="50"/>
      <c r="C10" s="50"/>
      <c r="D10" s="51"/>
      <c r="E10" s="51"/>
      <c r="F10" s="64" t="str">
        <f t="shared" si="0"/>
        <v/>
      </c>
      <c r="G10" s="112" t="str">
        <f t="shared" si="1"/>
        <v/>
      </c>
      <c r="H10" s="52"/>
      <c r="I10" s="53"/>
    </row>
    <row r="11" spans="1:9" ht="16.5" customHeight="1" x14ac:dyDescent="0.3">
      <c r="A11" s="46">
        <f>9</f>
        <v>9</v>
      </c>
      <c r="B11" s="40"/>
      <c r="C11" s="40"/>
      <c r="D11" s="33"/>
      <c r="E11" s="33"/>
      <c r="F11" s="61" t="str">
        <f t="shared" si="0"/>
        <v/>
      </c>
      <c r="G11" s="111" t="str">
        <f t="shared" si="1"/>
        <v/>
      </c>
      <c r="H11" s="47"/>
      <c r="I11" s="48"/>
    </row>
    <row r="12" spans="1:9" ht="16.5" customHeight="1" x14ac:dyDescent="0.3">
      <c r="A12" s="46">
        <f>10</f>
        <v>10</v>
      </c>
      <c r="B12" s="50"/>
      <c r="C12" s="50"/>
      <c r="D12" s="51"/>
      <c r="E12" s="51"/>
      <c r="F12" s="64" t="str">
        <f t="shared" si="0"/>
        <v/>
      </c>
      <c r="G12" s="112" t="str">
        <f t="shared" si="1"/>
        <v/>
      </c>
      <c r="H12" s="52"/>
      <c r="I12" s="53"/>
    </row>
    <row r="13" spans="1:9" ht="16.5" customHeight="1" x14ac:dyDescent="0.3">
      <c r="A13" s="46">
        <f>11</f>
        <v>11</v>
      </c>
      <c r="B13" s="40"/>
      <c r="C13" s="40"/>
      <c r="D13" s="33"/>
      <c r="E13" s="33"/>
      <c r="F13" s="61" t="str">
        <f t="shared" si="0"/>
        <v/>
      </c>
      <c r="G13" s="111" t="str">
        <f t="shared" si="1"/>
        <v/>
      </c>
      <c r="H13" s="47"/>
      <c r="I13" s="48"/>
    </row>
    <row r="14" spans="1:9" ht="16.5" customHeight="1" x14ac:dyDescent="0.3">
      <c r="A14" s="46">
        <f>12</f>
        <v>12</v>
      </c>
      <c r="B14" s="50"/>
      <c r="C14" s="50"/>
      <c r="D14" s="51"/>
      <c r="E14" s="51"/>
      <c r="F14" s="64" t="str">
        <f t="shared" si="0"/>
        <v/>
      </c>
      <c r="G14" s="112" t="str">
        <f t="shared" si="1"/>
        <v/>
      </c>
      <c r="H14" s="52"/>
      <c r="I14" s="53"/>
    </row>
    <row r="15" spans="1:9" ht="16.5" customHeight="1" x14ac:dyDescent="0.3">
      <c r="A15" s="46">
        <f>13</f>
        <v>13</v>
      </c>
      <c r="B15" s="40"/>
      <c r="C15" s="40"/>
      <c r="D15" s="33"/>
      <c r="E15" s="33"/>
      <c r="F15" s="61" t="str">
        <f t="shared" si="0"/>
        <v/>
      </c>
      <c r="G15" s="111" t="str">
        <f t="shared" si="1"/>
        <v/>
      </c>
      <c r="H15" s="47"/>
      <c r="I15" s="48"/>
    </row>
    <row r="16" spans="1:9" ht="16.5" customHeight="1" x14ac:dyDescent="0.3">
      <c r="A16" s="46">
        <f>14</f>
        <v>14</v>
      </c>
      <c r="B16" s="50"/>
      <c r="C16" s="50"/>
      <c r="D16" s="51"/>
      <c r="E16" s="51"/>
      <c r="F16" s="64" t="str">
        <f t="shared" si="0"/>
        <v/>
      </c>
      <c r="G16" s="112" t="str">
        <f t="shared" si="1"/>
        <v/>
      </c>
      <c r="H16" s="52"/>
      <c r="I16" s="53"/>
    </row>
    <row r="17" spans="1:9" ht="16.5" customHeight="1" x14ac:dyDescent="0.3">
      <c r="A17" s="46">
        <f>15</f>
        <v>15</v>
      </c>
      <c r="B17" s="40"/>
      <c r="C17" s="40"/>
      <c r="D17" s="33"/>
      <c r="E17" s="33"/>
      <c r="F17" s="61" t="str">
        <f t="shared" si="0"/>
        <v/>
      </c>
      <c r="G17" s="111" t="str">
        <f t="shared" si="1"/>
        <v/>
      </c>
      <c r="H17" s="47"/>
      <c r="I17" s="48"/>
    </row>
    <row r="18" spans="1:9" ht="16.5" customHeight="1" x14ac:dyDescent="0.3">
      <c r="A18" s="46">
        <f>16</f>
        <v>16</v>
      </c>
      <c r="B18" s="50"/>
      <c r="C18" s="50"/>
      <c r="D18" s="51"/>
      <c r="E18" s="51"/>
      <c r="F18" s="64" t="str">
        <f t="shared" si="0"/>
        <v/>
      </c>
      <c r="G18" s="112" t="str">
        <f t="shared" si="1"/>
        <v/>
      </c>
      <c r="H18" s="52"/>
      <c r="I18" s="53"/>
    </row>
    <row r="19" spans="1:9" ht="16.5" customHeight="1" x14ac:dyDescent="0.3">
      <c r="A19" s="46">
        <f>17</f>
        <v>17</v>
      </c>
      <c r="B19" s="40"/>
      <c r="C19" s="40"/>
      <c r="D19" s="33"/>
      <c r="E19" s="33"/>
      <c r="F19" s="61" t="str">
        <f t="shared" si="0"/>
        <v/>
      </c>
      <c r="G19" s="111" t="str">
        <f t="shared" si="1"/>
        <v/>
      </c>
      <c r="H19" s="47"/>
      <c r="I19" s="48"/>
    </row>
    <row r="20" spans="1:9" ht="16.5" customHeight="1" x14ac:dyDescent="0.3">
      <c r="A20" s="46">
        <f>18</f>
        <v>18</v>
      </c>
      <c r="B20" s="50"/>
      <c r="C20" s="50"/>
      <c r="D20" s="51"/>
      <c r="E20" s="51"/>
      <c r="F20" s="64" t="str">
        <f t="shared" si="0"/>
        <v/>
      </c>
      <c r="G20" s="112" t="str">
        <f t="shared" si="1"/>
        <v/>
      </c>
      <c r="H20" s="52"/>
      <c r="I20" s="53"/>
    </row>
    <row r="21" spans="1:9" ht="16.5" customHeight="1" x14ac:dyDescent="0.3">
      <c r="A21" s="46">
        <f>19</f>
        <v>19</v>
      </c>
      <c r="B21" s="40"/>
      <c r="C21" s="40"/>
      <c r="D21" s="33"/>
      <c r="E21" s="33"/>
      <c r="F21" s="61" t="str">
        <f t="shared" si="0"/>
        <v/>
      </c>
      <c r="G21" s="111" t="str">
        <f t="shared" si="1"/>
        <v/>
      </c>
      <c r="H21" s="47"/>
      <c r="I21" s="48"/>
    </row>
    <row r="22" spans="1:9" ht="16.5" customHeight="1" x14ac:dyDescent="0.3">
      <c r="A22" s="46">
        <f>20</f>
        <v>20</v>
      </c>
      <c r="B22" s="50"/>
      <c r="C22" s="50"/>
      <c r="D22" s="51"/>
      <c r="E22" s="51"/>
      <c r="F22" s="64" t="str">
        <f t="shared" si="0"/>
        <v/>
      </c>
      <c r="G22" s="112" t="str">
        <f t="shared" si="1"/>
        <v/>
      </c>
      <c r="H22" s="52"/>
      <c r="I22" s="53"/>
    </row>
    <row r="23" spans="1:9" ht="16.5" customHeight="1" x14ac:dyDescent="0.3">
      <c r="A23" s="46">
        <f>21</f>
        <v>21</v>
      </c>
      <c r="B23" s="40"/>
      <c r="C23" s="40"/>
      <c r="D23" s="33"/>
      <c r="E23" s="33"/>
      <c r="F23" s="61" t="str">
        <f t="shared" si="0"/>
        <v/>
      </c>
      <c r="G23" s="111" t="str">
        <f t="shared" si="1"/>
        <v/>
      </c>
      <c r="H23" s="47"/>
      <c r="I23" s="48"/>
    </row>
    <row r="24" spans="1:9" ht="16.5" customHeight="1" x14ac:dyDescent="0.3">
      <c r="A24" s="46">
        <f>22</f>
        <v>22</v>
      </c>
      <c r="B24" s="50"/>
      <c r="C24" s="50"/>
      <c r="D24" s="51"/>
      <c r="E24" s="51"/>
      <c r="F24" s="64" t="str">
        <f t="shared" si="0"/>
        <v/>
      </c>
      <c r="G24" s="112" t="str">
        <f t="shared" si="1"/>
        <v/>
      </c>
      <c r="H24" s="52"/>
      <c r="I24" s="53"/>
    </row>
    <row r="25" spans="1:9" ht="16.5" customHeight="1" x14ac:dyDescent="0.3">
      <c r="A25" s="46">
        <f>23</f>
        <v>23</v>
      </c>
      <c r="B25" s="40"/>
      <c r="C25" s="40"/>
      <c r="D25" s="33"/>
      <c r="E25" s="33"/>
      <c r="F25" s="61" t="str">
        <f t="shared" si="0"/>
        <v/>
      </c>
      <c r="G25" s="111" t="str">
        <f t="shared" si="1"/>
        <v/>
      </c>
      <c r="H25" s="47"/>
      <c r="I25" s="48"/>
    </row>
    <row r="26" spans="1:9" ht="16.5" customHeight="1" x14ac:dyDescent="0.3">
      <c r="A26" s="46">
        <f>24</f>
        <v>24</v>
      </c>
      <c r="B26" s="50"/>
      <c r="C26" s="50"/>
      <c r="D26" s="51"/>
      <c r="E26" s="51"/>
      <c r="F26" s="64" t="str">
        <f t="shared" si="0"/>
        <v/>
      </c>
      <c r="G26" s="112" t="str">
        <f t="shared" si="1"/>
        <v/>
      </c>
      <c r="H26" s="52"/>
      <c r="I26" s="53"/>
    </row>
    <row r="27" spans="1:9" ht="16.5" customHeight="1" x14ac:dyDescent="0.3">
      <c r="A27" s="46">
        <f>25</f>
        <v>25</v>
      </c>
      <c r="B27" s="40"/>
      <c r="C27" s="40"/>
      <c r="D27" s="33"/>
      <c r="E27" s="33"/>
      <c r="F27" s="61" t="str">
        <f t="shared" si="0"/>
        <v/>
      </c>
      <c r="G27" s="111" t="str">
        <f t="shared" si="1"/>
        <v/>
      </c>
      <c r="H27" s="47"/>
      <c r="I27" s="48"/>
    </row>
    <row r="28" spans="1:9" ht="16.5" customHeight="1" x14ac:dyDescent="0.3">
      <c r="A28" s="46">
        <f>26</f>
        <v>26</v>
      </c>
      <c r="B28" s="50"/>
      <c r="C28" s="50"/>
      <c r="D28" s="51"/>
      <c r="E28" s="51"/>
      <c r="F28" s="64" t="str">
        <f t="shared" si="0"/>
        <v/>
      </c>
      <c r="G28" s="112" t="str">
        <f t="shared" si="1"/>
        <v/>
      </c>
      <c r="H28" s="52"/>
      <c r="I28" s="53"/>
    </row>
    <row r="29" spans="1:9" ht="16.5" customHeight="1" x14ac:dyDescent="0.3">
      <c r="A29" s="46">
        <f>27</f>
        <v>27</v>
      </c>
      <c r="B29" s="40"/>
      <c r="C29" s="40"/>
      <c r="D29" s="33"/>
      <c r="E29" s="33"/>
      <c r="F29" s="61" t="str">
        <f t="shared" si="0"/>
        <v/>
      </c>
      <c r="G29" s="111" t="str">
        <f t="shared" si="1"/>
        <v/>
      </c>
      <c r="H29" s="47"/>
      <c r="I29" s="48"/>
    </row>
    <row r="30" spans="1:9" ht="16.5" customHeight="1" x14ac:dyDescent="0.3">
      <c r="A30" s="46">
        <f>28</f>
        <v>28</v>
      </c>
      <c r="B30" s="50"/>
      <c r="C30" s="50"/>
      <c r="D30" s="51"/>
      <c r="E30" s="51"/>
      <c r="F30" s="64" t="str">
        <f t="shared" si="0"/>
        <v/>
      </c>
      <c r="G30" s="112" t="str">
        <f t="shared" si="1"/>
        <v/>
      </c>
      <c r="H30" s="52"/>
      <c r="I30" s="53"/>
    </row>
    <row r="31" spans="1:9" ht="16.5" customHeight="1" x14ac:dyDescent="0.3">
      <c r="A31" s="46">
        <f>29</f>
        <v>29</v>
      </c>
      <c r="B31" s="40"/>
      <c r="C31" s="40"/>
      <c r="D31" s="33"/>
      <c r="E31" s="33"/>
      <c r="F31" s="61" t="str">
        <f t="shared" si="0"/>
        <v/>
      </c>
      <c r="G31" s="111" t="str">
        <f t="shared" si="1"/>
        <v/>
      </c>
      <c r="H31" s="47"/>
      <c r="I31" s="48"/>
    </row>
    <row r="32" spans="1:9" ht="16.5" customHeight="1" x14ac:dyDescent="0.3">
      <c r="A32" s="46">
        <f>30</f>
        <v>30</v>
      </c>
      <c r="B32" s="50"/>
      <c r="C32" s="50"/>
      <c r="D32" s="51"/>
      <c r="E32" s="51"/>
      <c r="F32" s="64" t="str">
        <f t="shared" si="0"/>
        <v/>
      </c>
      <c r="G32" s="112" t="str">
        <f t="shared" si="1"/>
        <v/>
      </c>
      <c r="H32" s="52"/>
      <c r="I32" s="53"/>
    </row>
    <row r="33" spans="1:9" ht="19.5" customHeight="1" x14ac:dyDescent="0.3">
      <c r="A33" s="54" t="s">
        <v>69</v>
      </c>
      <c r="B33" s="56"/>
      <c r="C33" s="56"/>
      <c r="D33" s="55">
        <f>SUMIF(D3:D32,"&gt;0",D3:D32)</f>
        <v>23000</v>
      </c>
      <c r="E33" s="55">
        <f>SUMIF(D3:D32,"&gt;0",E3:E32)</f>
        <v>0</v>
      </c>
      <c r="F33" s="55">
        <f>SUMIF(D3:D32,"&gt;0",F3:F32)</f>
        <v>23000</v>
      </c>
      <c r="G33" s="56"/>
      <c r="H33" s="56"/>
      <c r="I33" s="56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85FA5"/>
  </sheetPr>
  <dimension ref="B1:G34"/>
  <sheetViews>
    <sheetView showGridLines="0" zoomScaleNormal="100" workbookViewId="0">
      <selection activeCell="C10" sqref="C10"/>
    </sheetView>
  </sheetViews>
  <sheetFormatPr defaultColWidth="8.6640625" defaultRowHeight="14.4" x14ac:dyDescent="0.3"/>
  <cols>
    <col min="1" max="1" width="2" customWidth="1"/>
    <col min="2" max="2" width="28" customWidth="1"/>
    <col min="3" max="3" width="20" customWidth="1"/>
    <col min="4" max="4" width="28" customWidth="1"/>
    <col min="5" max="5" width="2" customWidth="1"/>
    <col min="7" max="7" width="12" customWidth="1"/>
  </cols>
  <sheetData>
    <row r="1" spans="2:7" ht="21.75" customHeight="1" x14ac:dyDescent="0.3">
      <c r="B1" s="14" t="s">
        <v>137</v>
      </c>
      <c r="C1" s="14"/>
      <c r="D1" s="14"/>
    </row>
    <row r="2" spans="2:7" ht="13.5" customHeight="1" x14ac:dyDescent="0.3"/>
    <row r="3" spans="2:7" ht="21.75" customHeight="1" x14ac:dyDescent="0.3">
      <c r="B3" s="12" t="s">
        <v>138</v>
      </c>
      <c r="C3" s="12"/>
      <c r="D3" s="12"/>
    </row>
    <row r="4" spans="2:7" ht="25.5" customHeight="1" x14ac:dyDescent="0.3">
      <c r="B4" s="113" t="s">
        <v>139</v>
      </c>
      <c r="C4" s="114">
        <v>55000</v>
      </c>
      <c r="D4" s="115" t="s">
        <v>140</v>
      </c>
      <c r="G4" s="94" t="s">
        <v>141</v>
      </c>
    </row>
    <row r="5" spans="2:7" ht="25.5" customHeight="1" x14ac:dyDescent="0.3">
      <c r="B5" s="116" t="s">
        <v>142</v>
      </c>
      <c r="C5" s="117">
        <f>SUMIF('📋 Projects'!$B$3:$B$52,"?*",'📋 Projects'!$I$3:$I$52)-G5</f>
        <v>160000</v>
      </c>
      <c r="D5" s="115" t="s">
        <v>143</v>
      </c>
      <c r="G5" s="100">
        <v>0</v>
      </c>
    </row>
    <row r="6" spans="2:7" ht="25.5" customHeight="1" x14ac:dyDescent="0.3">
      <c r="B6" s="118" t="s">
        <v>144</v>
      </c>
      <c r="C6" s="119">
        <f>SUM('💸 Expense Log'!$E$3:$E$102)-G6</f>
        <v>62000</v>
      </c>
      <c r="D6" s="115" t="s">
        <v>145</v>
      </c>
      <c r="G6" s="100">
        <v>0</v>
      </c>
    </row>
    <row r="7" spans="2:7" ht="25.5" customHeight="1" x14ac:dyDescent="0.3">
      <c r="B7" s="120" t="s">
        <v>146</v>
      </c>
      <c r="C7" s="121">
        <f>C4+C5-C6</f>
        <v>153000</v>
      </c>
      <c r="D7" s="115" t="s">
        <v>147</v>
      </c>
    </row>
    <row r="8" spans="2:7" ht="25.5" customHeight="1" x14ac:dyDescent="0.3">
      <c r="B8" s="122"/>
      <c r="C8" s="123"/>
      <c r="D8" s="124"/>
    </row>
    <row r="9" spans="2:7" ht="18" customHeight="1" x14ac:dyDescent="0.3">
      <c r="B9" s="12" t="s">
        <v>148</v>
      </c>
      <c r="C9" s="12"/>
      <c r="D9" s="12"/>
    </row>
    <row r="10" spans="2:7" ht="36" customHeight="1" x14ac:dyDescent="0.3">
      <c r="B10" s="125" t="s">
        <v>5</v>
      </c>
      <c r="C10" s="126">
        <f>'💰 Money Buckets'!F11</f>
        <v>55000</v>
      </c>
      <c r="D10" s="127"/>
    </row>
    <row r="11" spans="2:7" ht="18" customHeight="1" x14ac:dyDescent="0.3">
      <c r="B11" s="128" t="s">
        <v>6</v>
      </c>
      <c r="C11" s="126">
        <f>'💰 Money Buckets'!F12</f>
        <v>21000</v>
      </c>
      <c r="D11" s="127"/>
    </row>
    <row r="12" spans="2:7" ht="21.75" customHeight="1" x14ac:dyDescent="0.3">
      <c r="B12" s="129" t="s">
        <v>7</v>
      </c>
      <c r="C12" s="126">
        <f>'💰 Money Buckets'!F13</f>
        <v>32000</v>
      </c>
      <c r="D12" s="127"/>
    </row>
    <row r="13" spans="2:7" ht="18" customHeight="1" x14ac:dyDescent="0.3">
      <c r="B13" s="130" t="s">
        <v>8</v>
      </c>
      <c r="C13" s="126">
        <f>'💰 Money Buckets'!F14</f>
        <v>30000</v>
      </c>
      <c r="D13" s="131"/>
    </row>
    <row r="14" spans="2:7" ht="16.5" customHeight="1" x14ac:dyDescent="0.3">
      <c r="B14" s="118" t="s">
        <v>9</v>
      </c>
      <c r="C14" s="126">
        <f>'💰 Money Buckets'!F15</f>
        <v>15000</v>
      </c>
      <c r="D14" s="132"/>
    </row>
    <row r="15" spans="2:7" ht="16.5" customHeight="1" x14ac:dyDescent="0.3">
      <c r="B15" s="113" t="s">
        <v>149</v>
      </c>
      <c r="C15" s="133">
        <f>SUM(C10:C14)</f>
        <v>153000</v>
      </c>
      <c r="D15" s="132" t="s">
        <v>150</v>
      </c>
    </row>
    <row r="16" spans="2:7" ht="16.5" customHeight="1" x14ac:dyDescent="0.3">
      <c r="B16" s="134" t="s">
        <v>151</v>
      </c>
      <c r="C16" s="135">
        <f>C7-C15</f>
        <v>0</v>
      </c>
      <c r="D16" s="132" t="s">
        <v>152</v>
      </c>
    </row>
    <row r="17" spans="2:4" ht="16.5" customHeight="1" x14ac:dyDescent="0.3">
      <c r="B17" s="136"/>
      <c r="C17" s="137"/>
      <c r="D17" s="138"/>
    </row>
    <row r="18" spans="2:4" ht="16.5" customHeight="1" x14ac:dyDescent="0.3">
      <c r="B18" s="1" t="s">
        <v>153</v>
      </c>
      <c r="C18" s="1"/>
      <c r="D18" s="1"/>
    </row>
    <row r="19" spans="2:4" ht="16.5" customHeight="1" x14ac:dyDescent="0.3">
      <c r="B19" s="136"/>
      <c r="C19" s="137"/>
      <c r="D19" s="138"/>
    </row>
    <row r="20" spans="2:4" ht="18" customHeight="1" x14ac:dyDescent="0.3">
      <c r="B20" s="3" t="s">
        <v>154</v>
      </c>
      <c r="C20" s="3"/>
      <c r="D20" s="3"/>
    </row>
    <row r="21" spans="2:4" ht="18" customHeight="1" x14ac:dyDescent="0.3">
      <c r="B21" s="57" t="s">
        <v>155</v>
      </c>
      <c r="C21" s="57" t="s">
        <v>156</v>
      </c>
      <c r="D21" s="57" t="s">
        <v>91</v>
      </c>
    </row>
    <row r="22" spans="2:4" ht="18" customHeight="1" x14ac:dyDescent="0.3">
      <c r="B22" s="139" t="s">
        <v>157</v>
      </c>
    </row>
    <row r="23" spans="2:4" ht="18" customHeight="1" x14ac:dyDescent="0.3">
      <c r="B23" s="139" t="s">
        <v>158</v>
      </c>
    </row>
    <row r="24" spans="2:4" ht="18" customHeight="1" x14ac:dyDescent="0.3">
      <c r="B24" s="139" t="s">
        <v>159</v>
      </c>
    </row>
    <row r="25" spans="2:4" ht="18" customHeight="1" x14ac:dyDescent="0.3">
      <c r="B25" s="139" t="s">
        <v>160</v>
      </c>
    </row>
    <row r="26" spans="2:4" ht="18" customHeight="1" x14ac:dyDescent="0.3">
      <c r="B26" s="139" t="s">
        <v>161</v>
      </c>
    </row>
    <row r="27" spans="2:4" ht="18" customHeight="1" x14ac:dyDescent="0.3">
      <c r="B27" s="139" t="s">
        <v>162</v>
      </c>
    </row>
    <row r="28" spans="2:4" ht="18" customHeight="1" x14ac:dyDescent="0.3"/>
    <row r="29" spans="2:4" ht="18" customHeight="1" x14ac:dyDescent="0.3"/>
    <row r="30" spans="2:4" ht="18" customHeight="1" x14ac:dyDescent="0.3"/>
    <row r="31" spans="2:4" ht="18" customHeight="1" x14ac:dyDescent="0.3"/>
    <row r="32" spans="2:4" ht="18" customHeight="1" x14ac:dyDescent="0.3"/>
    <row r="33" ht="18" customHeight="1" x14ac:dyDescent="0.3"/>
    <row r="34" ht="18" customHeight="1" x14ac:dyDescent="0.3"/>
  </sheetData>
  <mergeCells count="5">
    <mergeCell ref="B1:D1"/>
    <mergeCell ref="B3:D3"/>
    <mergeCell ref="B9:D9"/>
    <mergeCell ref="B18:D18"/>
    <mergeCell ref="B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32D2D"/>
  </sheetPr>
  <dimension ref="A1:F112"/>
  <sheetViews>
    <sheetView showGridLines="0" tabSelected="1" zoomScaleNormal="100" workbookViewId="0">
      <pane ySplit="2" topLeftCell="A3" activePane="bottomLeft" state="frozen"/>
      <selection pane="bottomLeft" activeCell="F7" sqref="F7"/>
    </sheetView>
  </sheetViews>
  <sheetFormatPr defaultColWidth="8.6640625" defaultRowHeight="14.4" x14ac:dyDescent="0.3"/>
  <cols>
    <col min="1" max="1" width="3" customWidth="1"/>
    <col min="2" max="2" width="16" customWidth="1"/>
    <col min="3" max="3" width="20" customWidth="1"/>
    <col min="4" max="4" width="24" customWidth="1"/>
    <col min="5" max="5" width="16" customWidth="1"/>
    <col min="6" max="6" width="28" customWidth="1"/>
  </cols>
  <sheetData>
    <row r="1" spans="1:6" ht="21.75" customHeight="1" x14ac:dyDescent="0.3">
      <c r="A1" s="14" t="s">
        <v>163</v>
      </c>
      <c r="B1" s="14"/>
      <c r="C1" s="14"/>
      <c r="D1" s="14"/>
      <c r="E1" s="14"/>
      <c r="F1" s="14"/>
    </row>
    <row r="2" spans="1:6" ht="18" customHeight="1" x14ac:dyDescent="0.3">
      <c r="A2" s="57" t="s">
        <v>29</v>
      </c>
      <c r="B2" s="57" t="s">
        <v>164</v>
      </c>
      <c r="C2" s="57" t="s">
        <v>165</v>
      </c>
      <c r="D2" s="57" t="s">
        <v>166</v>
      </c>
      <c r="E2" s="57" t="s">
        <v>167</v>
      </c>
      <c r="F2" s="57" t="s">
        <v>91</v>
      </c>
    </row>
    <row r="3" spans="1:6" ht="16.5" customHeight="1" x14ac:dyDescent="0.3">
      <c r="A3" s="46">
        <f>1</f>
        <v>1</v>
      </c>
      <c r="B3" s="47">
        <v>46206</v>
      </c>
      <c r="C3" s="40" t="s">
        <v>5</v>
      </c>
      <c r="D3" s="40" t="s">
        <v>168</v>
      </c>
      <c r="E3" s="33">
        <v>15000</v>
      </c>
      <c r="F3" s="48"/>
    </row>
    <row r="4" spans="1:6" ht="16.5" customHeight="1" x14ac:dyDescent="0.3">
      <c r="A4" s="46">
        <f>2</f>
        <v>2</v>
      </c>
      <c r="B4" s="52">
        <v>46208</v>
      </c>
      <c r="C4" s="50" t="s">
        <v>9</v>
      </c>
      <c r="D4" s="50" t="s">
        <v>169</v>
      </c>
      <c r="E4" s="51">
        <v>5000</v>
      </c>
      <c r="F4" s="53"/>
    </row>
    <row r="5" spans="1:6" ht="16.5" customHeight="1" x14ac:dyDescent="0.3">
      <c r="A5" s="46">
        <f>3</f>
        <v>3</v>
      </c>
      <c r="B5" s="47">
        <v>46209</v>
      </c>
      <c r="C5" s="40" t="s">
        <v>7</v>
      </c>
      <c r="D5" s="40" t="s">
        <v>170</v>
      </c>
      <c r="E5" s="33">
        <v>2000</v>
      </c>
      <c r="F5" s="48"/>
    </row>
    <row r="6" spans="1:6" ht="16.5" customHeight="1" x14ac:dyDescent="0.3">
      <c r="A6" s="46">
        <f>4</f>
        <v>4</v>
      </c>
      <c r="B6" s="52">
        <v>46210</v>
      </c>
      <c r="C6" s="50" t="s">
        <v>8</v>
      </c>
      <c r="D6" s="50" t="s">
        <v>171</v>
      </c>
      <c r="E6" s="51">
        <v>10000</v>
      </c>
      <c r="F6" s="53"/>
    </row>
    <row r="7" spans="1:6" ht="16.5" customHeight="1" x14ac:dyDescent="0.3">
      <c r="A7" s="46">
        <f>5</f>
        <v>5</v>
      </c>
      <c r="B7" s="47">
        <v>46241</v>
      </c>
      <c r="C7" s="40" t="s">
        <v>5</v>
      </c>
      <c r="D7" s="40" t="s">
        <v>168</v>
      </c>
      <c r="E7" s="33">
        <v>30000</v>
      </c>
      <c r="F7" s="48"/>
    </row>
    <row r="8" spans="1:6" ht="16.5" customHeight="1" x14ac:dyDescent="0.3">
      <c r="A8" s="46">
        <f>6</f>
        <v>6</v>
      </c>
      <c r="B8" s="52"/>
      <c r="C8" s="50"/>
      <c r="D8" s="50"/>
      <c r="E8" s="51"/>
      <c r="F8" s="53"/>
    </row>
    <row r="9" spans="1:6" ht="16.5" customHeight="1" x14ac:dyDescent="0.3">
      <c r="A9" s="46">
        <f>7</f>
        <v>7</v>
      </c>
      <c r="B9" s="47"/>
      <c r="C9" s="40"/>
      <c r="D9" s="40"/>
      <c r="E9" s="33"/>
      <c r="F9" s="48"/>
    </row>
    <row r="10" spans="1:6" ht="16.5" customHeight="1" x14ac:dyDescent="0.3">
      <c r="A10" s="46">
        <f>8</f>
        <v>8</v>
      </c>
      <c r="B10" s="52"/>
      <c r="C10" s="50"/>
      <c r="D10" s="50"/>
      <c r="E10" s="51"/>
      <c r="F10" s="53"/>
    </row>
    <row r="11" spans="1:6" ht="16.5" customHeight="1" x14ac:dyDescent="0.3">
      <c r="A11" s="46">
        <f>9</f>
        <v>9</v>
      </c>
      <c r="B11" s="47"/>
      <c r="C11" s="40"/>
      <c r="D11" s="40"/>
      <c r="E11" s="33"/>
      <c r="F11" s="48"/>
    </row>
    <row r="12" spans="1:6" ht="16.5" customHeight="1" x14ac:dyDescent="0.3">
      <c r="A12" s="46">
        <f>10</f>
        <v>10</v>
      </c>
      <c r="B12" s="52"/>
      <c r="C12" s="50"/>
      <c r="D12" s="50"/>
      <c r="E12" s="51"/>
      <c r="F12" s="53"/>
    </row>
    <row r="13" spans="1:6" ht="16.5" customHeight="1" x14ac:dyDescent="0.3">
      <c r="A13" s="46">
        <f>11</f>
        <v>11</v>
      </c>
      <c r="B13" s="47"/>
      <c r="C13" s="40"/>
      <c r="D13" s="40"/>
      <c r="E13" s="33"/>
      <c r="F13" s="48"/>
    </row>
    <row r="14" spans="1:6" ht="16.5" customHeight="1" x14ac:dyDescent="0.3">
      <c r="A14" s="46">
        <f>12</f>
        <v>12</v>
      </c>
      <c r="B14" s="52"/>
      <c r="C14" s="50"/>
      <c r="D14" s="50"/>
      <c r="E14" s="51"/>
      <c r="F14" s="53"/>
    </row>
    <row r="15" spans="1:6" ht="16.5" customHeight="1" x14ac:dyDescent="0.3">
      <c r="A15" s="46">
        <f>13</f>
        <v>13</v>
      </c>
      <c r="B15" s="47"/>
      <c r="C15" s="40"/>
      <c r="D15" s="40"/>
      <c r="E15" s="33"/>
      <c r="F15" s="48"/>
    </row>
    <row r="16" spans="1:6" ht="16.5" customHeight="1" x14ac:dyDescent="0.3">
      <c r="A16" s="46">
        <f>14</f>
        <v>14</v>
      </c>
      <c r="B16" s="52"/>
      <c r="C16" s="50"/>
      <c r="D16" s="50"/>
      <c r="E16" s="51"/>
      <c r="F16" s="53"/>
    </row>
    <row r="17" spans="1:6" ht="16.5" customHeight="1" x14ac:dyDescent="0.3">
      <c r="A17" s="46">
        <f>15</f>
        <v>15</v>
      </c>
      <c r="B17" s="47"/>
      <c r="C17" s="40"/>
      <c r="D17" s="40"/>
      <c r="E17" s="33"/>
      <c r="F17" s="48"/>
    </row>
    <row r="18" spans="1:6" ht="16.5" customHeight="1" x14ac:dyDescent="0.3">
      <c r="A18" s="46">
        <f>16</f>
        <v>16</v>
      </c>
      <c r="B18" s="52"/>
      <c r="C18" s="50"/>
      <c r="D18" s="50"/>
      <c r="E18" s="51"/>
      <c r="F18" s="53"/>
    </row>
    <row r="19" spans="1:6" ht="16.5" customHeight="1" x14ac:dyDescent="0.3">
      <c r="A19" s="46">
        <f>17</f>
        <v>17</v>
      </c>
      <c r="B19" s="47"/>
      <c r="C19" s="40"/>
      <c r="D19" s="40"/>
      <c r="E19" s="33"/>
      <c r="F19" s="48"/>
    </row>
    <row r="20" spans="1:6" ht="16.5" customHeight="1" x14ac:dyDescent="0.3">
      <c r="A20" s="46">
        <f>18</f>
        <v>18</v>
      </c>
      <c r="B20" s="52"/>
      <c r="C20" s="50"/>
      <c r="D20" s="50"/>
      <c r="E20" s="51"/>
      <c r="F20" s="53"/>
    </row>
    <row r="21" spans="1:6" ht="16.5" customHeight="1" x14ac:dyDescent="0.3">
      <c r="A21" s="46">
        <f>19</f>
        <v>19</v>
      </c>
      <c r="B21" s="47"/>
      <c r="C21" s="40"/>
      <c r="D21" s="40"/>
      <c r="E21" s="33"/>
      <c r="F21" s="48"/>
    </row>
    <row r="22" spans="1:6" ht="16.5" customHeight="1" x14ac:dyDescent="0.3">
      <c r="A22" s="46">
        <f>20</f>
        <v>20</v>
      </c>
      <c r="B22" s="52"/>
      <c r="C22" s="50"/>
      <c r="D22" s="50"/>
      <c r="E22" s="51"/>
      <c r="F22" s="53"/>
    </row>
    <row r="23" spans="1:6" ht="16.5" customHeight="1" x14ac:dyDescent="0.3">
      <c r="A23" s="46">
        <f>21</f>
        <v>21</v>
      </c>
      <c r="B23" s="47"/>
      <c r="C23" s="40"/>
      <c r="D23" s="40"/>
      <c r="E23" s="33"/>
      <c r="F23" s="48"/>
    </row>
    <row r="24" spans="1:6" ht="16.5" customHeight="1" x14ac:dyDescent="0.3">
      <c r="A24" s="46">
        <f>22</f>
        <v>22</v>
      </c>
      <c r="B24" s="52"/>
      <c r="C24" s="50"/>
      <c r="D24" s="50"/>
      <c r="E24" s="51"/>
      <c r="F24" s="53"/>
    </row>
    <row r="25" spans="1:6" ht="16.5" customHeight="1" x14ac:dyDescent="0.3">
      <c r="A25" s="46">
        <f>23</f>
        <v>23</v>
      </c>
      <c r="B25" s="47"/>
      <c r="C25" s="40"/>
      <c r="D25" s="40"/>
      <c r="E25" s="33"/>
      <c r="F25" s="48"/>
    </row>
    <row r="26" spans="1:6" ht="16.5" customHeight="1" x14ac:dyDescent="0.3">
      <c r="A26" s="46">
        <f>24</f>
        <v>24</v>
      </c>
      <c r="B26" s="52"/>
      <c r="C26" s="50"/>
      <c r="D26" s="50"/>
      <c r="E26" s="51"/>
      <c r="F26" s="53"/>
    </row>
    <row r="27" spans="1:6" ht="16.5" customHeight="1" x14ac:dyDescent="0.3">
      <c r="A27" s="46">
        <f>25</f>
        <v>25</v>
      </c>
      <c r="B27" s="47"/>
      <c r="C27" s="40"/>
      <c r="D27" s="40"/>
      <c r="E27" s="33"/>
      <c r="F27" s="48"/>
    </row>
    <row r="28" spans="1:6" ht="16.5" customHeight="1" x14ac:dyDescent="0.3">
      <c r="A28" s="46">
        <f>26</f>
        <v>26</v>
      </c>
      <c r="B28" s="52"/>
      <c r="C28" s="50"/>
      <c r="D28" s="50"/>
      <c r="E28" s="51"/>
      <c r="F28" s="53"/>
    </row>
    <row r="29" spans="1:6" ht="16.5" customHeight="1" x14ac:dyDescent="0.3">
      <c r="A29" s="46">
        <f>27</f>
        <v>27</v>
      </c>
      <c r="B29" s="47"/>
      <c r="C29" s="40"/>
      <c r="D29" s="40"/>
      <c r="E29" s="33"/>
      <c r="F29" s="48"/>
    </row>
    <row r="30" spans="1:6" ht="16.5" customHeight="1" x14ac:dyDescent="0.3">
      <c r="A30" s="46">
        <f>28</f>
        <v>28</v>
      </c>
      <c r="B30" s="52"/>
      <c r="C30" s="50"/>
      <c r="D30" s="50"/>
      <c r="E30" s="51"/>
      <c r="F30" s="53"/>
    </row>
    <row r="31" spans="1:6" ht="16.5" customHeight="1" x14ac:dyDescent="0.3">
      <c r="A31" s="46">
        <f>29</f>
        <v>29</v>
      </c>
      <c r="B31" s="47"/>
      <c r="C31" s="40"/>
      <c r="D31" s="40"/>
      <c r="E31" s="33"/>
      <c r="F31" s="48"/>
    </row>
    <row r="32" spans="1:6" ht="16.5" customHeight="1" x14ac:dyDescent="0.3">
      <c r="A32" s="46">
        <f>30</f>
        <v>30</v>
      </c>
      <c r="B32" s="52"/>
      <c r="C32" s="50"/>
      <c r="D32" s="50"/>
      <c r="E32" s="51"/>
      <c r="F32" s="53"/>
    </row>
    <row r="33" spans="1:6" ht="16.5" customHeight="1" x14ac:dyDescent="0.3">
      <c r="A33" s="46">
        <f>31</f>
        <v>31</v>
      </c>
      <c r="B33" s="47"/>
      <c r="C33" s="40"/>
      <c r="D33" s="40"/>
      <c r="E33" s="33"/>
      <c r="F33" s="48"/>
    </row>
    <row r="34" spans="1:6" ht="16.5" customHeight="1" x14ac:dyDescent="0.3">
      <c r="A34" s="46">
        <f>32</f>
        <v>32</v>
      </c>
      <c r="B34" s="52"/>
      <c r="C34" s="50"/>
      <c r="D34" s="50"/>
      <c r="E34" s="51"/>
      <c r="F34" s="53"/>
    </row>
    <row r="35" spans="1:6" ht="16.5" customHeight="1" x14ac:dyDescent="0.3">
      <c r="A35" s="46">
        <f>33</f>
        <v>33</v>
      </c>
      <c r="B35" s="47"/>
      <c r="C35" s="40"/>
      <c r="D35" s="40"/>
      <c r="E35" s="33"/>
      <c r="F35" s="48"/>
    </row>
    <row r="36" spans="1:6" ht="16.5" customHeight="1" x14ac:dyDescent="0.3">
      <c r="A36" s="46">
        <f>34</f>
        <v>34</v>
      </c>
      <c r="B36" s="52"/>
      <c r="C36" s="50"/>
      <c r="D36" s="50"/>
      <c r="E36" s="51"/>
      <c r="F36" s="53"/>
    </row>
    <row r="37" spans="1:6" ht="16.5" customHeight="1" x14ac:dyDescent="0.3">
      <c r="A37" s="46">
        <f>35</f>
        <v>35</v>
      </c>
      <c r="B37" s="47"/>
      <c r="C37" s="40"/>
      <c r="D37" s="40"/>
      <c r="E37" s="33"/>
      <c r="F37" s="48"/>
    </row>
    <row r="38" spans="1:6" ht="16.5" customHeight="1" x14ac:dyDescent="0.3">
      <c r="A38" s="46">
        <f>36</f>
        <v>36</v>
      </c>
      <c r="B38" s="52"/>
      <c r="C38" s="50"/>
      <c r="D38" s="50"/>
      <c r="E38" s="51"/>
      <c r="F38" s="53"/>
    </row>
    <row r="39" spans="1:6" ht="16.5" customHeight="1" x14ac:dyDescent="0.3">
      <c r="A39" s="46">
        <f>37</f>
        <v>37</v>
      </c>
      <c r="B39" s="47"/>
      <c r="C39" s="40"/>
      <c r="D39" s="40"/>
      <c r="E39" s="33"/>
      <c r="F39" s="48"/>
    </row>
    <row r="40" spans="1:6" ht="16.5" customHeight="1" x14ac:dyDescent="0.3">
      <c r="A40" s="46">
        <f>38</f>
        <v>38</v>
      </c>
      <c r="B40" s="52"/>
      <c r="C40" s="50"/>
      <c r="D40" s="50"/>
      <c r="E40" s="51"/>
      <c r="F40" s="53"/>
    </row>
    <row r="41" spans="1:6" ht="16.5" customHeight="1" x14ac:dyDescent="0.3">
      <c r="A41" s="46">
        <f>39</f>
        <v>39</v>
      </c>
      <c r="B41" s="47"/>
      <c r="C41" s="40"/>
      <c r="D41" s="40"/>
      <c r="E41" s="33"/>
      <c r="F41" s="48"/>
    </row>
    <row r="42" spans="1:6" ht="16.5" customHeight="1" x14ac:dyDescent="0.3">
      <c r="A42" s="46">
        <f>40</f>
        <v>40</v>
      </c>
      <c r="B42" s="52"/>
      <c r="C42" s="50"/>
      <c r="D42" s="50"/>
      <c r="E42" s="51"/>
      <c r="F42" s="53"/>
    </row>
    <row r="43" spans="1:6" ht="16.5" customHeight="1" x14ac:dyDescent="0.3">
      <c r="A43" s="46">
        <f>41</f>
        <v>41</v>
      </c>
      <c r="B43" s="47"/>
      <c r="C43" s="40"/>
      <c r="D43" s="40"/>
      <c r="E43" s="33"/>
      <c r="F43" s="48"/>
    </row>
    <row r="44" spans="1:6" ht="16.5" customHeight="1" x14ac:dyDescent="0.3">
      <c r="A44" s="46">
        <f>42</f>
        <v>42</v>
      </c>
      <c r="B44" s="52"/>
      <c r="C44" s="50"/>
      <c r="D44" s="50"/>
      <c r="E44" s="51"/>
      <c r="F44" s="53"/>
    </row>
    <row r="45" spans="1:6" ht="16.5" customHeight="1" x14ac:dyDescent="0.3">
      <c r="A45" s="46">
        <f>43</f>
        <v>43</v>
      </c>
      <c r="B45" s="47"/>
      <c r="C45" s="40"/>
      <c r="D45" s="40"/>
      <c r="E45" s="33"/>
      <c r="F45" s="48"/>
    </row>
    <row r="46" spans="1:6" ht="16.5" customHeight="1" x14ac:dyDescent="0.3">
      <c r="A46" s="46">
        <f>44</f>
        <v>44</v>
      </c>
      <c r="B46" s="52"/>
      <c r="C46" s="50"/>
      <c r="D46" s="50"/>
      <c r="E46" s="51"/>
      <c r="F46" s="53"/>
    </row>
    <row r="47" spans="1:6" ht="16.5" customHeight="1" x14ac:dyDescent="0.3">
      <c r="A47" s="46">
        <f>45</f>
        <v>45</v>
      </c>
      <c r="B47" s="47"/>
      <c r="C47" s="40"/>
      <c r="D47" s="40"/>
      <c r="E47" s="33"/>
      <c r="F47" s="48"/>
    </row>
    <row r="48" spans="1:6" ht="16.5" customHeight="1" x14ac:dyDescent="0.3">
      <c r="A48" s="46">
        <f>46</f>
        <v>46</v>
      </c>
      <c r="B48" s="52"/>
      <c r="C48" s="50"/>
      <c r="D48" s="50"/>
      <c r="E48" s="51"/>
      <c r="F48" s="53"/>
    </row>
    <row r="49" spans="1:6" ht="16.5" customHeight="1" x14ac:dyDescent="0.3">
      <c r="A49" s="46">
        <f>47</f>
        <v>47</v>
      </c>
      <c r="B49" s="47"/>
      <c r="C49" s="40"/>
      <c r="D49" s="40"/>
      <c r="E49" s="33"/>
      <c r="F49" s="48"/>
    </row>
    <row r="50" spans="1:6" ht="16.5" customHeight="1" x14ac:dyDescent="0.3">
      <c r="A50" s="46">
        <f>48</f>
        <v>48</v>
      </c>
      <c r="B50" s="52"/>
      <c r="C50" s="50"/>
      <c r="D50" s="50"/>
      <c r="E50" s="51"/>
      <c r="F50" s="53"/>
    </row>
    <row r="51" spans="1:6" ht="16.5" customHeight="1" x14ac:dyDescent="0.3">
      <c r="A51" s="46">
        <f>49</f>
        <v>49</v>
      </c>
      <c r="B51" s="47"/>
      <c r="C51" s="40"/>
      <c r="D51" s="40"/>
      <c r="E51" s="33"/>
      <c r="F51" s="48"/>
    </row>
    <row r="52" spans="1:6" ht="16.5" customHeight="1" x14ac:dyDescent="0.3">
      <c r="A52" s="46">
        <f>50</f>
        <v>50</v>
      </c>
      <c r="B52" s="52"/>
      <c r="C52" s="50"/>
      <c r="D52" s="50"/>
      <c r="E52" s="51"/>
      <c r="F52" s="53"/>
    </row>
    <row r="53" spans="1:6" ht="16.5" customHeight="1" x14ac:dyDescent="0.3">
      <c r="A53" s="46">
        <f>51</f>
        <v>51</v>
      </c>
      <c r="B53" s="47"/>
      <c r="C53" s="40"/>
      <c r="D53" s="40"/>
      <c r="E53" s="33"/>
      <c r="F53" s="48"/>
    </row>
    <row r="54" spans="1:6" ht="16.5" customHeight="1" x14ac:dyDescent="0.3">
      <c r="A54" s="46">
        <f>52</f>
        <v>52</v>
      </c>
      <c r="B54" s="52"/>
      <c r="C54" s="50"/>
      <c r="D54" s="50"/>
      <c r="E54" s="51"/>
      <c r="F54" s="53"/>
    </row>
    <row r="55" spans="1:6" ht="16.5" customHeight="1" x14ac:dyDescent="0.3">
      <c r="A55" s="46">
        <f>53</f>
        <v>53</v>
      </c>
      <c r="B55" s="47"/>
      <c r="C55" s="40"/>
      <c r="D55" s="40"/>
      <c r="E55" s="33"/>
      <c r="F55" s="48"/>
    </row>
    <row r="56" spans="1:6" ht="16.5" customHeight="1" x14ac:dyDescent="0.3">
      <c r="A56" s="46">
        <f>54</f>
        <v>54</v>
      </c>
      <c r="B56" s="52"/>
      <c r="C56" s="50"/>
      <c r="D56" s="50"/>
      <c r="E56" s="51"/>
      <c r="F56" s="53"/>
    </row>
    <row r="57" spans="1:6" ht="16.5" customHeight="1" x14ac:dyDescent="0.3">
      <c r="A57" s="46">
        <f>55</f>
        <v>55</v>
      </c>
      <c r="B57" s="47"/>
      <c r="C57" s="40"/>
      <c r="D57" s="40"/>
      <c r="E57" s="33"/>
      <c r="F57" s="48"/>
    </row>
    <row r="58" spans="1:6" ht="16.5" customHeight="1" x14ac:dyDescent="0.3">
      <c r="A58" s="46">
        <f>56</f>
        <v>56</v>
      </c>
      <c r="B58" s="52"/>
      <c r="C58" s="50"/>
      <c r="D58" s="50"/>
      <c r="E58" s="51"/>
      <c r="F58" s="53"/>
    </row>
    <row r="59" spans="1:6" ht="16.5" customHeight="1" x14ac:dyDescent="0.3">
      <c r="A59" s="46">
        <f>57</f>
        <v>57</v>
      </c>
      <c r="B59" s="47"/>
      <c r="C59" s="40"/>
      <c r="D59" s="40"/>
      <c r="E59" s="33"/>
      <c r="F59" s="48"/>
    </row>
    <row r="60" spans="1:6" ht="16.5" customHeight="1" x14ac:dyDescent="0.3">
      <c r="A60" s="46">
        <f>58</f>
        <v>58</v>
      </c>
      <c r="B60" s="52"/>
      <c r="C60" s="50"/>
      <c r="D60" s="50"/>
      <c r="E60" s="51"/>
      <c r="F60" s="53"/>
    </row>
    <row r="61" spans="1:6" ht="16.5" customHeight="1" x14ac:dyDescent="0.3">
      <c r="A61" s="46">
        <f>59</f>
        <v>59</v>
      </c>
      <c r="B61" s="47"/>
      <c r="C61" s="40"/>
      <c r="D61" s="40"/>
      <c r="E61" s="33"/>
      <c r="F61" s="48"/>
    </row>
    <row r="62" spans="1:6" ht="16.5" customHeight="1" x14ac:dyDescent="0.3">
      <c r="A62" s="46">
        <f>60</f>
        <v>60</v>
      </c>
      <c r="B62" s="52"/>
      <c r="C62" s="50"/>
      <c r="D62" s="50"/>
      <c r="E62" s="51"/>
      <c r="F62" s="53"/>
    </row>
    <row r="63" spans="1:6" ht="16.5" customHeight="1" x14ac:dyDescent="0.3">
      <c r="A63" s="46">
        <f>61</f>
        <v>61</v>
      </c>
      <c r="B63" s="47"/>
      <c r="C63" s="40"/>
      <c r="D63" s="40"/>
      <c r="E63" s="33"/>
      <c r="F63" s="48"/>
    </row>
    <row r="64" spans="1:6" ht="16.5" customHeight="1" x14ac:dyDescent="0.3">
      <c r="A64" s="46">
        <f>62</f>
        <v>62</v>
      </c>
      <c r="B64" s="52"/>
      <c r="C64" s="50"/>
      <c r="D64" s="50"/>
      <c r="E64" s="51"/>
      <c r="F64" s="53"/>
    </row>
    <row r="65" spans="1:6" ht="16.5" customHeight="1" x14ac:dyDescent="0.3">
      <c r="A65" s="46">
        <f>63</f>
        <v>63</v>
      </c>
      <c r="B65" s="47"/>
      <c r="C65" s="40"/>
      <c r="D65" s="40"/>
      <c r="E65" s="33"/>
      <c r="F65" s="48"/>
    </row>
    <row r="66" spans="1:6" ht="16.5" customHeight="1" x14ac:dyDescent="0.3">
      <c r="A66" s="46">
        <f>64</f>
        <v>64</v>
      </c>
      <c r="B66" s="52"/>
      <c r="C66" s="50"/>
      <c r="D66" s="50"/>
      <c r="E66" s="51"/>
      <c r="F66" s="53"/>
    </row>
    <row r="67" spans="1:6" ht="16.5" customHeight="1" x14ac:dyDescent="0.3">
      <c r="A67" s="46">
        <f>65</f>
        <v>65</v>
      </c>
      <c r="B67" s="47"/>
      <c r="C67" s="40"/>
      <c r="D67" s="40"/>
      <c r="E67" s="33"/>
      <c r="F67" s="48"/>
    </row>
    <row r="68" spans="1:6" ht="16.5" customHeight="1" x14ac:dyDescent="0.3">
      <c r="A68" s="46">
        <f>66</f>
        <v>66</v>
      </c>
      <c r="B68" s="52"/>
      <c r="C68" s="50"/>
      <c r="D68" s="50"/>
      <c r="E68" s="51"/>
      <c r="F68" s="53"/>
    </row>
    <row r="69" spans="1:6" ht="16.5" customHeight="1" x14ac:dyDescent="0.3">
      <c r="A69" s="46">
        <f>67</f>
        <v>67</v>
      </c>
      <c r="B69" s="47"/>
      <c r="C69" s="40"/>
      <c r="D69" s="40"/>
      <c r="E69" s="33"/>
      <c r="F69" s="48"/>
    </row>
    <row r="70" spans="1:6" ht="16.5" customHeight="1" x14ac:dyDescent="0.3">
      <c r="A70" s="46">
        <f>68</f>
        <v>68</v>
      </c>
      <c r="B70" s="52"/>
      <c r="C70" s="50"/>
      <c r="D70" s="50"/>
      <c r="E70" s="51"/>
      <c r="F70" s="53"/>
    </row>
    <row r="71" spans="1:6" ht="16.5" customHeight="1" x14ac:dyDescent="0.3">
      <c r="A71" s="46">
        <f>69</f>
        <v>69</v>
      </c>
      <c r="B71" s="47"/>
      <c r="C71" s="40"/>
      <c r="D71" s="40"/>
      <c r="E71" s="33"/>
      <c r="F71" s="48"/>
    </row>
    <row r="72" spans="1:6" ht="16.5" customHeight="1" x14ac:dyDescent="0.3">
      <c r="A72" s="46">
        <f>70</f>
        <v>70</v>
      </c>
      <c r="B72" s="52"/>
      <c r="C72" s="50"/>
      <c r="D72" s="50"/>
      <c r="E72" s="51"/>
      <c r="F72" s="53"/>
    </row>
    <row r="73" spans="1:6" ht="16.5" customHeight="1" x14ac:dyDescent="0.3">
      <c r="A73" s="46">
        <f>71</f>
        <v>71</v>
      </c>
      <c r="B73" s="47"/>
      <c r="C73" s="40"/>
      <c r="D73" s="40"/>
      <c r="E73" s="33"/>
      <c r="F73" s="48"/>
    </row>
    <row r="74" spans="1:6" ht="16.5" customHeight="1" x14ac:dyDescent="0.3">
      <c r="A74" s="46">
        <f>72</f>
        <v>72</v>
      </c>
      <c r="B74" s="52"/>
      <c r="C74" s="50"/>
      <c r="D74" s="50"/>
      <c r="E74" s="51"/>
      <c r="F74" s="53"/>
    </row>
    <row r="75" spans="1:6" ht="16.5" customHeight="1" x14ac:dyDescent="0.3">
      <c r="A75" s="46">
        <f>73</f>
        <v>73</v>
      </c>
      <c r="B75" s="47"/>
      <c r="C75" s="40"/>
      <c r="D75" s="40"/>
      <c r="E75" s="33"/>
      <c r="F75" s="48"/>
    </row>
    <row r="76" spans="1:6" ht="16.5" customHeight="1" x14ac:dyDescent="0.3">
      <c r="A76" s="46">
        <f>74</f>
        <v>74</v>
      </c>
      <c r="B76" s="52"/>
      <c r="C76" s="50"/>
      <c r="D76" s="50"/>
      <c r="E76" s="51"/>
      <c r="F76" s="53"/>
    </row>
    <row r="77" spans="1:6" ht="16.5" customHeight="1" x14ac:dyDescent="0.3">
      <c r="A77" s="46">
        <f>75</f>
        <v>75</v>
      </c>
      <c r="B77" s="47"/>
      <c r="C77" s="40"/>
      <c r="D77" s="40"/>
      <c r="E77" s="33"/>
      <c r="F77" s="48"/>
    </row>
    <row r="78" spans="1:6" ht="16.5" customHeight="1" x14ac:dyDescent="0.3">
      <c r="A78" s="46">
        <f>76</f>
        <v>76</v>
      </c>
      <c r="B78" s="52"/>
      <c r="C78" s="50"/>
      <c r="D78" s="50"/>
      <c r="E78" s="51"/>
      <c r="F78" s="53"/>
    </row>
    <row r="79" spans="1:6" ht="16.5" customHeight="1" x14ac:dyDescent="0.3">
      <c r="A79" s="46">
        <f>77</f>
        <v>77</v>
      </c>
      <c r="B79" s="47"/>
      <c r="C79" s="40"/>
      <c r="D79" s="40"/>
      <c r="E79" s="33"/>
      <c r="F79" s="48"/>
    </row>
    <row r="80" spans="1:6" ht="16.5" customHeight="1" x14ac:dyDescent="0.3">
      <c r="A80" s="46">
        <f>78</f>
        <v>78</v>
      </c>
      <c r="B80" s="52"/>
      <c r="C80" s="50"/>
      <c r="D80" s="50"/>
      <c r="E80" s="51"/>
      <c r="F80" s="53"/>
    </row>
    <row r="81" spans="1:6" ht="16.5" customHeight="1" x14ac:dyDescent="0.3">
      <c r="A81" s="46">
        <f>79</f>
        <v>79</v>
      </c>
      <c r="B81" s="47"/>
      <c r="C81" s="40"/>
      <c r="D81" s="40"/>
      <c r="E81" s="33"/>
      <c r="F81" s="48"/>
    </row>
    <row r="82" spans="1:6" ht="16.5" customHeight="1" x14ac:dyDescent="0.3">
      <c r="A82" s="46">
        <f>80</f>
        <v>80</v>
      </c>
      <c r="B82" s="52"/>
      <c r="C82" s="50"/>
      <c r="D82" s="50"/>
      <c r="E82" s="51"/>
      <c r="F82" s="53"/>
    </row>
    <row r="83" spans="1:6" ht="16.5" customHeight="1" x14ac:dyDescent="0.3">
      <c r="A83" s="46">
        <f>81</f>
        <v>81</v>
      </c>
      <c r="B83" s="47"/>
      <c r="C83" s="40"/>
      <c r="D83" s="40"/>
      <c r="E83" s="33"/>
      <c r="F83" s="48"/>
    </row>
    <row r="84" spans="1:6" ht="16.5" customHeight="1" x14ac:dyDescent="0.3">
      <c r="A84" s="46">
        <f>82</f>
        <v>82</v>
      </c>
      <c r="B84" s="52"/>
      <c r="C84" s="50"/>
      <c r="D84" s="50"/>
      <c r="E84" s="51"/>
      <c r="F84" s="53"/>
    </row>
    <row r="85" spans="1:6" ht="16.5" customHeight="1" x14ac:dyDescent="0.3">
      <c r="A85" s="46">
        <f>83</f>
        <v>83</v>
      </c>
      <c r="B85" s="47"/>
      <c r="C85" s="40"/>
      <c r="D85" s="40"/>
      <c r="E85" s="33"/>
      <c r="F85" s="48"/>
    </row>
    <row r="86" spans="1:6" ht="16.5" customHeight="1" x14ac:dyDescent="0.3">
      <c r="A86" s="46">
        <f>84</f>
        <v>84</v>
      </c>
      <c r="B86" s="52"/>
      <c r="C86" s="50"/>
      <c r="D86" s="50"/>
      <c r="E86" s="51"/>
      <c r="F86" s="53"/>
    </row>
    <row r="87" spans="1:6" ht="16.5" customHeight="1" x14ac:dyDescent="0.3">
      <c r="A87" s="46">
        <f>85</f>
        <v>85</v>
      </c>
      <c r="B87" s="47"/>
      <c r="C87" s="40"/>
      <c r="D87" s="40"/>
      <c r="E87" s="33"/>
      <c r="F87" s="48"/>
    </row>
    <row r="88" spans="1:6" ht="16.5" customHeight="1" x14ac:dyDescent="0.3">
      <c r="A88" s="46">
        <f>86</f>
        <v>86</v>
      </c>
      <c r="B88" s="52"/>
      <c r="C88" s="50"/>
      <c r="D88" s="50"/>
      <c r="E88" s="51"/>
      <c r="F88" s="53"/>
    </row>
    <row r="89" spans="1:6" ht="16.5" customHeight="1" x14ac:dyDescent="0.3">
      <c r="A89" s="46">
        <f>87</f>
        <v>87</v>
      </c>
      <c r="B89" s="47"/>
      <c r="C89" s="40"/>
      <c r="D89" s="40"/>
      <c r="E89" s="33"/>
      <c r="F89" s="48"/>
    </row>
    <row r="90" spans="1:6" ht="16.5" customHeight="1" x14ac:dyDescent="0.3">
      <c r="A90" s="46">
        <f>88</f>
        <v>88</v>
      </c>
      <c r="B90" s="52"/>
      <c r="C90" s="50"/>
      <c r="D90" s="50"/>
      <c r="E90" s="51"/>
      <c r="F90" s="53"/>
    </row>
    <row r="91" spans="1:6" ht="16.5" customHeight="1" x14ac:dyDescent="0.3">
      <c r="A91" s="46">
        <f>89</f>
        <v>89</v>
      </c>
      <c r="B91" s="47"/>
      <c r="C91" s="40"/>
      <c r="D91" s="40"/>
      <c r="E91" s="33"/>
      <c r="F91" s="48"/>
    </row>
    <row r="92" spans="1:6" ht="16.5" customHeight="1" x14ac:dyDescent="0.3">
      <c r="A92" s="46">
        <f>90</f>
        <v>90</v>
      </c>
      <c r="B92" s="52"/>
      <c r="C92" s="50"/>
      <c r="D92" s="50"/>
      <c r="E92" s="51"/>
      <c r="F92" s="53"/>
    </row>
    <row r="93" spans="1:6" ht="16.5" customHeight="1" x14ac:dyDescent="0.3">
      <c r="A93" s="46">
        <f>91</f>
        <v>91</v>
      </c>
      <c r="B93" s="47"/>
      <c r="C93" s="40"/>
      <c r="D93" s="40"/>
      <c r="E93" s="33"/>
      <c r="F93" s="48"/>
    </row>
    <row r="94" spans="1:6" ht="16.5" customHeight="1" x14ac:dyDescent="0.3">
      <c r="A94" s="46">
        <f>92</f>
        <v>92</v>
      </c>
      <c r="B94" s="52"/>
      <c r="C94" s="50"/>
      <c r="D94" s="50"/>
      <c r="E94" s="51"/>
      <c r="F94" s="53"/>
    </row>
    <row r="95" spans="1:6" ht="16.5" customHeight="1" x14ac:dyDescent="0.3">
      <c r="A95" s="46">
        <f>93</f>
        <v>93</v>
      </c>
      <c r="B95" s="47"/>
      <c r="C95" s="40"/>
      <c r="D95" s="40"/>
      <c r="E95" s="33"/>
      <c r="F95" s="48"/>
    </row>
    <row r="96" spans="1:6" ht="16.5" customHeight="1" x14ac:dyDescent="0.3">
      <c r="A96" s="46">
        <f>94</f>
        <v>94</v>
      </c>
      <c r="B96" s="52"/>
      <c r="C96" s="50"/>
      <c r="D96" s="50"/>
      <c r="E96" s="51"/>
      <c r="F96" s="53"/>
    </row>
    <row r="97" spans="1:6" ht="16.5" customHeight="1" x14ac:dyDescent="0.3">
      <c r="A97" s="46">
        <f>95</f>
        <v>95</v>
      </c>
      <c r="B97" s="47"/>
      <c r="C97" s="40"/>
      <c r="D97" s="40"/>
      <c r="E97" s="33"/>
      <c r="F97" s="48"/>
    </row>
    <row r="98" spans="1:6" ht="16.5" customHeight="1" x14ac:dyDescent="0.3">
      <c r="A98" s="46">
        <f>96</f>
        <v>96</v>
      </c>
      <c r="B98" s="52"/>
      <c r="C98" s="50"/>
      <c r="D98" s="50"/>
      <c r="E98" s="51"/>
      <c r="F98" s="53"/>
    </row>
    <row r="99" spans="1:6" ht="16.5" customHeight="1" x14ac:dyDescent="0.3">
      <c r="A99" s="46">
        <f>97</f>
        <v>97</v>
      </c>
      <c r="B99" s="47"/>
      <c r="C99" s="40"/>
      <c r="D99" s="40"/>
      <c r="E99" s="33"/>
      <c r="F99" s="48"/>
    </row>
    <row r="100" spans="1:6" ht="16.5" customHeight="1" x14ac:dyDescent="0.3">
      <c r="A100" s="46">
        <f>98</f>
        <v>98</v>
      </c>
      <c r="B100" s="52"/>
      <c r="C100" s="50"/>
      <c r="D100" s="50"/>
      <c r="E100" s="51"/>
      <c r="F100" s="53"/>
    </row>
    <row r="101" spans="1:6" ht="16.5" customHeight="1" x14ac:dyDescent="0.3">
      <c r="A101" s="46">
        <f>99</f>
        <v>99</v>
      </c>
      <c r="B101" s="47"/>
      <c r="C101" s="40"/>
      <c r="D101" s="40"/>
      <c r="E101" s="33"/>
      <c r="F101" s="48"/>
    </row>
    <row r="102" spans="1:6" ht="16.5" customHeight="1" x14ac:dyDescent="0.3">
      <c r="A102" s="46">
        <f>100</f>
        <v>100</v>
      </c>
      <c r="B102" s="52"/>
      <c r="C102" s="50"/>
      <c r="D102" s="50"/>
      <c r="E102" s="51"/>
      <c r="F102" s="53"/>
    </row>
    <row r="103" spans="1:6" ht="19.5" customHeight="1" x14ac:dyDescent="0.3">
      <c r="A103" s="8" t="s">
        <v>69</v>
      </c>
      <c r="B103" s="8"/>
      <c r="C103" s="8"/>
      <c r="D103" s="8"/>
      <c r="E103" s="56"/>
      <c r="F103" s="56"/>
    </row>
    <row r="105" spans="1:6" ht="21.75" customHeight="1" x14ac:dyDescent="0.3">
      <c r="A105" s="13" t="s">
        <v>172</v>
      </c>
      <c r="B105" s="13"/>
      <c r="C105" s="13"/>
      <c r="D105" s="13"/>
      <c r="E105" s="13"/>
      <c r="F105" s="13"/>
    </row>
    <row r="106" spans="1:6" ht="15" customHeight="1" x14ac:dyDescent="0.3">
      <c r="A106" s="57" t="s">
        <v>165</v>
      </c>
      <c r="B106" s="57" t="s">
        <v>173</v>
      </c>
      <c r="C106" s="57"/>
      <c r="D106" s="57"/>
      <c r="E106" s="57"/>
      <c r="F106" s="57"/>
    </row>
    <row r="107" spans="1:6" ht="19.5" customHeight="1" x14ac:dyDescent="0.3">
      <c r="A107" s="146" t="s">
        <v>5</v>
      </c>
      <c r="B107" s="146"/>
      <c r="C107" s="146"/>
      <c r="D107" s="146"/>
      <c r="E107" s="140">
        <f>SUMIF(C3:C102,"Employee",E3:E102)</f>
        <v>45000</v>
      </c>
      <c r="F107" s="141"/>
    </row>
    <row r="108" spans="1:6" ht="19.5" customHeight="1" x14ac:dyDescent="0.3">
      <c r="A108" s="146" t="s">
        <v>6</v>
      </c>
      <c r="B108" s="146"/>
      <c r="C108" s="146"/>
      <c r="D108" s="146"/>
      <c r="E108" s="140">
        <f>SUMIF(C3:C102,"Probation Reserve",E3:E102)</f>
        <v>0</v>
      </c>
      <c r="F108" s="142"/>
    </row>
    <row r="109" spans="1:6" ht="19.5" customHeight="1" x14ac:dyDescent="0.3">
      <c r="A109" s="146" t="s">
        <v>7</v>
      </c>
      <c r="B109" s="146"/>
      <c r="C109" s="146"/>
      <c r="D109" s="146"/>
      <c r="E109" s="140">
        <f>SUMIF(C3:C102,"Contrack Expense",E3:E102)</f>
        <v>2000</v>
      </c>
      <c r="F109" s="143"/>
    </row>
    <row r="110" spans="1:6" ht="19.5" customHeight="1" x14ac:dyDescent="0.3">
      <c r="A110" s="146" t="s">
        <v>8</v>
      </c>
      <c r="B110" s="146"/>
      <c r="C110" s="146"/>
      <c r="D110" s="146"/>
      <c r="E110" s="140">
        <f>SUMIF(C3:C102,"Profit",E3:E102)</f>
        <v>10000</v>
      </c>
      <c r="F110" s="144"/>
    </row>
    <row r="111" spans="1:6" ht="21.75" customHeight="1" x14ac:dyDescent="0.3">
      <c r="A111" s="146" t="s">
        <v>9</v>
      </c>
      <c r="B111" s="146"/>
      <c r="C111" s="146"/>
      <c r="D111" s="146"/>
      <c r="E111" s="140">
        <f>SUMIF(C3:C102,"Company Expense",E3:E102)</f>
        <v>5000</v>
      </c>
      <c r="F111" s="56"/>
    </row>
    <row r="112" spans="1:6" ht="14.25" customHeight="1" x14ac:dyDescent="0.3">
      <c r="A112" s="147" t="s">
        <v>174</v>
      </c>
      <c r="B112" s="147"/>
      <c r="C112" s="147"/>
      <c r="D112" s="147"/>
      <c r="E112" s="145">
        <f>SUM(E107:E111)</f>
        <v>62000</v>
      </c>
    </row>
  </sheetData>
  <mergeCells count="9">
    <mergeCell ref="A109:D109"/>
    <mergeCell ref="A110:D110"/>
    <mergeCell ref="A111:D111"/>
    <mergeCell ref="A112:D112"/>
    <mergeCell ref="A1:F1"/>
    <mergeCell ref="A103:D103"/>
    <mergeCell ref="A105:F105"/>
    <mergeCell ref="A107:D107"/>
    <mergeCell ref="A108:D108"/>
  </mergeCells>
  <dataValidations count="1">
    <dataValidation type="list" allowBlank="1" sqref="C3:C102" xr:uid="{00000000-0002-0000-0600-000000000000}">
      <formula1>"Employee,Probation Reserve,Contrack Expense,Profit,Company Expense"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⚙️ Settings</vt:lpstr>
      <vt:lpstr>🟡 Leads</vt:lpstr>
      <vt:lpstr>📋 Projects</vt:lpstr>
      <vt:lpstr>💰 Money Buckets</vt:lpstr>
      <vt:lpstr>🔴 Pending Dues</vt:lpstr>
      <vt:lpstr>🏦 Bank Balance</vt:lpstr>
      <vt:lpstr>💸 Expense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Rish Dhamecha</cp:lastModifiedBy>
  <cp:revision>0</cp:revision>
  <dcterms:created xsi:type="dcterms:W3CDTF">2026-06-06T12:25:46Z</dcterms:created>
  <dcterms:modified xsi:type="dcterms:W3CDTF">2026-07-08T06:22:52Z</dcterms:modified>
  <dc:language>en-US</dc:language>
</cp:coreProperties>
</file>